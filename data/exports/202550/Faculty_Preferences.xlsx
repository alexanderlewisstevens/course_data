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202550</t>
        </is>
      </c>
      <c r="B2" t="inlineStr">
        <is>
          <t>2141</t>
        </is>
      </c>
      <c r="C2" t="inlineStr">
        <is>
          <t>COMP 1351</t>
        </is>
      </c>
      <c r="D2" t="inlineStr">
        <is>
          <t>0</t>
        </is>
      </c>
      <c r="E2" t="inlineStr">
        <is>
          <t>Introduction to Programming I</t>
        </is>
      </c>
      <c r="F2" t="inlineStr">
        <is>
          <t>Lecture/Lab</t>
        </is>
      </c>
      <c r="G2" t="inlineStr">
        <is>
          <t>21-JUN-2025 to 22-AUG-2025</t>
        </is>
      </c>
      <c r="H2" t="inlineStr"/>
      <c r="I2" t="inlineStr"/>
      <c r="J2" t="inlineStr">
        <is>
          <t>3</t>
        </is>
      </c>
      <c r="K2" t="inlineStr"/>
      <c r="L2" t="inlineStr">
        <is>
          <t>Malaver Alvarado, Juan A.</t>
        </is>
      </c>
      <c r="M2" t="n">
        <v>20</v>
      </c>
      <c r="N2" t="n">
        <v>2</v>
      </c>
      <c r="O2" t="n">
        <v>0</v>
      </c>
      <c r="P2" t="n">
        <v>2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202550</t>
        </is>
      </c>
      <c r="B3" t="inlineStr">
        <is>
          <t>1873</t>
        </is>
      </c>
      <c r="C3" t="inlineStr">
        <is>
          <t>COMP 3421</t>
        </is>
      </c>
      <c r="D3" t="inlineStr">
        <is>
          <t>0</t>
        </is>
      </c>
      <c r="E3" t="inlineStr">
        <is>
          <t>Database Organization &amp; Mgmt I</t>
        </is>
      </c>
      <c r="F3" t="inlineStr">
        <is>
          <t>Online/Distance</t>
        </is>
      </c>
      <c r="G3" t="inlineStr">
        <is>
          <t>14-JUN-2025 to 22-AUG-2025</t>
        </is>
      </c>
      <c r="H3" t="inlineStr">
        <is>
          <t>5:00PM-6:50PM</t>
        </is>
      </c>
      <c r="I3" t="inlineStr">
        <is>
          <t>R</t>
        </is>
      </c>
      <c r="J3" t="inlineStr">
        <is>
          <t>4</t>
        </is>
      </c>
      <c r="K3" t="inlineStr"/>
      <c r="L3" t="inlineStr">
        <is>
          <t>Mashinchi, Navid</t>
        </is>
      </c>
      <c r="M3" t="n">
        <v>20</v>
      </c>
      <c r="N3" t="n">
        <v>18</v>
      </c>
      <c r="O3" t="n">
        <v>0</v>
      </c>
      <c r="P3" t="n">
        <v>18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202550</t>
        </is>
      </c>
      <c r="B4" t="inlineStr">
        <is>
          <t>1886</t>
        </is>
      </c>
      <c r="C4" t="inlineStr">
        <is>
          <t>COMP 3433</t>
        </is>
      </c>
      <c r="D4" t="inlineStr">
        <is>
          <t>3</t>
        </is>
      </c>
      <c r="E4" t="inlineStr">
        <is>
          <t>Data Visualization</t>
        </is>
      </c>
      <c r="F4" t="inlineStr">
        <is>
          <t>Online/Distance</t>
        </is>
      </c>
      <c r="G4" t="inlineStr">
        <is>
          <t>14-JUN-2025 to 22-AUG-2025</t>
        </is>
      </c>
      <c r="H4" t="inlineStr">
        <is>
          <t>7:00PM-8:50PM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Siebrase, Benjamin E.</t>
        </is>
      </c>
      <c r="M4" t="n">
        <v>10</v>
      </c>
      <c r="N4" t="n">
        <v>8</v>
      </c>
      <c r="O4" t="n">
        <v>6</v>
      </c>
      <c r="P4" t="n">
        <v>14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202550</t>
        </is>
      </c>
      <c r="B5" t="inlineStr">
        <is>
          <t>1938</t>
        </is>
      </c>
      <c r="C5" t="inlineStr">
        <is>
          <t>COMP 3704</t>
        </is>
      </c>
      <c r="D5" t="inlineStr">
        <is>
          <t>0</t>
        </is>
      </c>
      <c r="E5" t="inlineStr">
        <is>
          <t>Advanced Topics: Systems</t>
        </is>
      </c>
      <c r="F5" t="inlineStr">
        <is>
          <t>Lecture</t>
        </is>
      </c>
      <c r="G5" t="inlineStr">
        <is>
          <t>21-JUN-2025 to 22-AUG-2025</t>
        </is>
      </c>
      <c r="H5" t="inlineStr">
        <is>
          <t>5:00PM-6:50PM</t>
        </is>
      </c>
      <c r="I5" t="inlineStr">
        <is>
          <t>M,W</t>
        </is>
      </c>
      <c r="J5" t="inlineStr">
        <is>
          <t>4</t>
        </is>
      </c>
      <c r="K5" t="inlineStr">
        <is>
          <t>ECS 300</t>
        </is>
      </c>
      <c r="L5" t="inlineStr">
        <is>
          <t>Hannum, Andrew T.</t>
        </is>
      </c>
      <c r="M5" t="n">
        <v>20</v>
      </c>
      <c r="N5" t="n">
        <v>6</v>
      </c>
      <c r="O5" t="n">
        <v>18</v>
      </c>
      <c r="P5" t="n">
        <v>24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202550</t>
        </is>
      </c>
      <c r="B6" t="inlineStr">
        <is>
          <t>1874</t>
        </is>
      </c>
      <c r="C6" t="inlineStr">
        <is>
          <t>COMP 4334</t>
        </is>
      </c>
      <c r="D6" t="inlineStr">
        <is>
          <t>1</t>
        </is>
      </c>
      <c r="E6" t="inlineStr">
        <is>
          <t>Parallel &amp; Distrib Comp for DS</t>
        </is>
      </c>
      <c r="F6" t="inlineStr">
        <is>
          <t>Online/Distance</t>
        </is>
      </c>
      <c r="G6" t="inlineStr">
        <is>
          <t>14-JUN-2025 to 22-AUG-2025</t>
        </is>
      </c>
      <c r="H6" t="inlineStr">
        <is>
          <t>7:00PM-8:50PM</t>
        </is>
      </c>
      <c r="I6" t="inlineStr">
        <is>
          <t>M</t>
        </is>
      </c>
      <c r="J6" t="inlineStr">
        <is>
          <t>4</t>
        </is>
      </c>
      <c r="K6" t="inlineStr"/>
      <c r="L6" t="inlineStr">
        <is>
          <t>Daskevich, Ronald J.</t>
        </is>
      </c>
      <c r="M6" t="n">
        <v>25</v>
      </c>
      <c r="N6" t="n">
        <v>9</v>
      </c>
      <c r="O6" t="n">
        <v>0</v>
      </c>
      <c r="P6" t="n">
        <v>9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202550</t>
        </is>
      </c>
      <c r="B7" t="inlineStr">
        <is>
          <t>1875</t>
        </is>
      </c>
      <c r="C7" t="inlineStr">
        <is>
          <t>COMP 4432</t>
        </is>
      </c>
      <c r="D7" t="inlineStr">
        <is>
          <t>2</t>
        </is>
      </c>
      <c r="E7" t="inlineStr">
        <is>
          <t>Machine Learning</t>
        </is>
      </c>
      <c r="F7" t="inlineStr">
        <is>
          <t>Online/Distance</t>
        </is>
      </c>
      <c r="G7" t="inlineStr">
        <is>
          <t>14-JUN-2025 to 22-AUG-2025</t>
        </is>
      </c>
      <c r="H7" t="inlineStr">
        <is>
          <t>5:00PM-6:50PM</t>
        </is>
      </c>
      <c r="I7" t="inlineStr">
        <is>
          <t>W</t>
        </is>
      </c>
      <c r="J7" t="inlineStr">
        <is>
          <t>4</t>
        </is>
      </c>
      <c r="K7" t="inlineStr"/>
      <c r="L7" t="inlineStr">
        <is>
          <t>Sawle, Paul L.</t>
        </is>
      </c>
      <c r="M7" t="n">
        <v>25</v>
      </c>
      <c r="N7" t="n">
        <v>13</v>
      </c>
      <c r="O7" t="n">
        <v>0</v>
      </c>
      <c r="P7" t="n">
        <v>13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202550</t>
        </is>
      </c>
      <c r="B8" t="inlineStr">
        <is>
          <t>1878</t>
        </is>
      </c>
      <c r="C8" t="inlineStr">
        <is>
          <t>COMP 4433</t>
        </is>
      </c>
      <c r="D8" t="inlineStr">
        <is>
          <t>0</t>
        </is>
      </c>
      <c r="E8" t="inlineStr">
        <is>
          <t>Data Visualization</t>
        </is>
      </c>
      <c r="F8" t="inlineStr">
        <is>
          <t>Online/Distance</t>
        </is>
      </c>
      <c r="G8" t="inlineStr">
        <is>
          <t>14-JUN-2025 to 22-AUG-2025</t>
        </is>
      </c>
      <c r="H8" t="inlineStr">
        <is>
          <t>7:00PM-8:50PM</t>
        </is>
      </c>
      <c r="I8" t="inlineStr">
        <is>
          <t>R</t>
        </is>
      </c>
      <c r="J8" t="inlineStr">
        <is>
          <t>4</t>
        </is>
      </c>
      <c r="K8" t="inlineStr"/>
      <c r="L8" t="inlineStr">
        <is>
          <t>Siebrase, Benjamin E.</t>
        </is>
      </c>
      <c r="M8" t="n">
        <v>15</v>
      </c>
      <c r="N8" t="n">
        <v>6</v>
      </c>
      <c r="O8" t="n">
        <v>8</v>
      </c>
      <c r="P8" t="n">
        <v>14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202550</t>
        </is>
      </c>
      <c r="B9" t="inlineStr">
        <is>
          <t>1879</t>
        </is>
      </c>
      <c r="C9" t="inlineStr">
        <is>
          <t>COMP 4442</t>
        </is>
      </c>
      <c r="D9" t="inlineStr">
        <is>
          <t>1</t>
        </is>
      </c>
      <c r="E9" t="inlineStr">
        <is>
          <t>Probability and Statistics 2</t>
        </is>
      </c>
      <c r="F9" t="inlineStr">
        <is>
          <t>Online/Distance</t>
        </is>
      </c>
      <c r="G9" t="inlineStr">
        <is>
          <t>14-JUN-2025 to 22-AUG-2025</t>
        </is>
      </c>
      <c r="H9" t="inlineStr">
        <is>
          <t>5:00PM-6:50PM</t>
        </is>
      </c>
      <c r="I9" t="inlineStr">
        <is>
          <t>W</t>
        </is>
      </c>
      <c r="J9" t="inlineStr">
        <is>
          <t>4</t>
        </is>
      </c>
      <c r="K9" t="inlineStr"/>
      <c r="L9" t="inlineStr"/>
      <c r="M9" t="n">
        <v>25</v>
      </c>
      <c r="N9" t="n">
        <v>3</v>
      </c>
      <c r="O9" t="n">
        <v>0</v>
      </c>
      <c r="P9" t="n">
        <v>3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202550</t>
        </is>
      </c>
      <c r="B10" t="inlineStr">
        <is>
          <t>2238</t>
        </is>
      </c>
      <c r="C10" t="inlineStr">
        <is>
          <t>COMP 4447</t>
        </is>
      </c>
      <c r="D10" t="inlineStr">
        <is>
          <t>1</t>
        </is>
      </c>
      <c r="E10" t="inlineStr">
        <is>
          <t>Data Science Tools 1</t>
        </is>
      </c>
      <c r="F10" t="inlineStr">
        <is>
          <t>Lecture</t>
        </is>
      </c>
      <c r="G10" t="inlineStr">
        <is>
          <t>14-JUN-2025 to 22-AUG-2025</t>
        </is>
      </c>
      <c r="H10" t="inlineStr"/>
      <c r="I10" t="inlineStr"/>
      <c r="J10" t="inlineStr">
        <is>
          <t>4</t>
        </is>
      </c>
      <c r="K10" t="inlineStr"/>
      <c r="L10" t="inlineStr"/>
      <c r="M10" t="n">
        <v>25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202550</t>
        </is>
      </c>
      <c r="B11" t="inlineStr">
        <is>
          <t>1884</t>
        </is>
      </c>
      <c r="C11" t="inlineStr">
        <is>
          <t>COMP 4447</t>
        </is>
      </c>
      <c r="D11" t="inlineStr">
        <is>
          <t>2</t>
        </is>
      </c>
      <c r="E11" t="inlineStr">
        <is>
          <t>Data Science Tools 1</t>
        </is>
      </c>
      <c r="F11" t="inlineStr">
        <is>
          <t>Lecture</t>
        </is>
      </c>
      <c r="G11" t="inlineStr">
        <is>
          <t>14-JUN-2025 to 22-AUG-2025</t>
        </is>
      </c>
      <c r="H11" t="inlineStr">
        <is>
          <t>5:00PM-6:50PM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Parada San Martin, Daniel A.</t>
        </is>
      </c>
      <c r="M11" t="n">
        <v>25</v>
      </c>
      <c r="N11" t="n">
        <v>6</v>
      </c>
      <c r="O11" t="n">
        <v>0</v>
      </c>
      <c r="P11" t="n">
        <v>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202550</t>
        </is>
      </c>
      <c r="B12" t="inlineStr">
        <is>
          <t>1197</t>
        </is>
      </c>
      <c r="C12" t="inlineStr">
        <is>
          <t>COMP 4455</t>
        </is>
      </c>
      <c r="D12" t="inlineStr">
        <is>
          <t>1</t>
        </is>
      </c>
      <c r="E12" t="inlineStr">
        <is>
          <t>Shell Scripting &amp; Sys Tools</t>
        </is>
      </c>
      <c r="F12" t="inlineStr">
        <is>
          <t>Lecture/Lab</t>
        </is>
      </c>
      <c r="G12" t="inlineStr">
        <is>
          <t>21-JUN-2025 to 22-AUG-2025</t>
        </is>
      </c>
      <c r="H12" t="inlineStr">
        <is>
          <t>7:00PM-8:50PM</t>
        </is>
      </c>
      <c r="I12" t="inlineStr">
        <is>
          <t>M,W</t>
        </is>
      </c>
      <c r="J12" t="inlineStr">
        <is>
          <t>4</t>
        </is>
      </c>
      <c r="K12" t="inlineStr">
        <is>
          <t>ECS 201</t>
        </is>
      </c>
      <c r="L12" t="inlineStr">
        <is>
          <t>Evans, Nathan S.</t>
        </is>
      </c>
      <c r="M12" t="n">
        <v>30</v>
      </c>
      <c r="N12" t="n">
        <v>21</v>
      </c>
      <c r="O12" t="n">
        <v>0</v>
      </c>
      <c r="P12" t="n">
        <v>21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202550</t>
        </is>
      </c>
      <c r="B13" t="inlineStr">
        <is>
          <t>1882</t>
        </is>
      </c>
      <c r="C13" t="inlineStr">
        <is>
          <t>COMP 4531</t>
        </is>
      </c>
      <c r="D13" t="inlineStr">
        <is>
          <t>0</t>
        </is>
      </c>
      <c r="E13" t="inlineStr">
        <is>
          <t>Deep Learning</t>
        </is>
      </c>
      <c r="F13" t="inlineStr">
        <is>
          <t>Online/Distance</t>
        </is>
      </c>
      <c r="G13" t="inlineStr">
        <is>
          <t>14-JUN-2025 to 22-AUG-2025</t>
        </is>
      </c>
      <c r="H13" t="inlineStr">
        <is>
          <t>5:00PM-6:50PM</t>
        </is>
      </c>
      <c r="I13" t="inlineStr">
        <is>
          <t>T</t>
        </is>
      </c>
      <c r="J13" t="inlineStr">
        <is>
          <t>4</t>
        </is>
      </c>
      <c r="K13" t="inlineStr"/>
      <c r="L13" t="inlineStr">
        <is>
          <t>Dalton, Donald A.</t>
        </is>
      </c>
      <c r="M13" t="n">
        <v>25</v>
      </c>
      <c r="N13" t="n">
        <v>5</v>
      </c>
      <c r="O13" t="n">
        <v>0</v>
      </c>
      <c r="P13" t="n">
        <v>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202550</t>
        </is>
      </c>
      <c r="B14" t="inlineStr">
        <is>
          <t>1937</t>
        </is>
      </c>
      <c r="C14" t="inlineStr">
        <is>
          <t>COMP 4704</t>
        </is>
      </c>
      <c r="D14" t="inlineStr">
        <is>
          <t>0</t>
        </is>
      </c>
      <c r="E14" t="inlineStr">
        <is>
          <t>Advanced Topics-Systems</t>
        </is>
      </c>
      <c r="F14" t="inlineStr">
        <is>
          <t>Lecture</t>
        </is>
      </c>
      <c r="G14" t="inlineStr">
        <is>
          <t>21-JUN-2025 to 22-AUG-2025</t>
        </is>
      </c>
      <c r="H14" t="inlineStr">
        <is>
          <t>5:00PM-6:50PM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Hannum, Andrew T.</t>
        </is>
      </c>
      <c r="M14" t="n">
        <v>17</v>
      </c>
      <c r="N14" t="n">
        <v>18</v>
      </c>
      <c r="O14" t="n">
        <v>6</v>
      </c>
      <c r="P14" t="n">
        <v>24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202550</t>
        </is>
      </c>
      <c r="B15" t="inlineStr">
        <is>
          <t>1898</t>
        </is>
      </c>
      <c r="C15" t="inlineStr">
        <is>
          <t>COMP 4705</t>
        </is>
      </c>
      <c r="D15" t="inlineStr">
        <is>
          <t>0</t>
        </is>
      </c>
      <c r="E15" t="inlineStr">
        <is>
          <t>Advanced Topics-Programming</t>
        </is>
      </c>
      <c r="F15" t="inlineStr">
        <is>
          <t>Online/Distance</t>
        </is>
      </c>
      <c r="G15" t="inlineStr">
        <is>
          <t>14-JUN-2025 to 22-AUG-2025</t>
        </is>
      </c>
      <c r="H15" t="inlineStr">
        <is>
          <t>7:00PM-8:50PM</t>
        </is>
      </c>
      <c r="I15" t="inlineStr">
        <is>
          <t>T</t>
        </is>
      </c>
      <c r="J15" t="inlineStr">
        <is>
          <t>4</t>
        </is>
      </c>
      <c r="K15" t="inlineStr"/>
      <c r="L15" t="inlineStr">
        <is>
          <t>Rasool, Rahim</t>
        </is>
      </c>
      <c r="M15" t="n">
        <v>25</v>
      </c>
      <c r="N15" t="n">
        <v>13</v>
      </c>
      <c r="O15" t="n">
        <v>0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202550</t>
        </is>
      </c>
      <c r="B16" t="inlineStr">
        <is>
          <t>1198</t>
        </is>
      </c>
      <c r="C16" t="inlineStr">
        <is>
          <t>COMP 4799</t>
        </is>
      </c>
      <c r="D16" t="inlineStr">
        <is>
          <t>1</t>
        </is>
      </c>
      <c r="E16" t="inlineStr">
        <is>
          <t>Cybersecurity Capstone</t>
        </is>
      </c>
      <c r="F16" t="inlineStr">
        <is>
          <t>Lecture/Lab</t>
        </is>
      </c>
      <c r="G16" t="inlineStr">
        <is>
          <t>21-JUN-2025 to 22-AUG-2025</t>
        </is>
      </c>
      <c r="H16" t="inlineStr"/>
      <c r="I16" t="inlineStr"/>
      <c r="J16" t="inlineStr">
        <is>
          <t>4</t>
        </is>
      </c>
      <c r="K16" t="inlineStr"/>
      <c r="L16" t="inlineStr">
        <is>
          <t>Evans, Nathan S.</t>
        </is>
      </c>
      <c r="M16" t="n">
        <v>30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Eligible'!$B$2:$B$16,'GTA Eligible'!$A$2:$A$16,"")</f>
        <v/>
      </c>
      <c r="B2" t="inlineStr">
        <is>
          <t>2141</t>
        </is>
      </c>
      <c r="C2">
        <f>XLOOKUP($B2,'GTA Eligible'!$B$2:$B$16,'GTA Eligible'!$C$2:$C$16,"")</f>
        <v/>
      </c>
      <c r="D2">
        <f>XLOOKUP($B2,'GTA Eligible'!$B$2:$B$16,'GTA Eligible'!$D$2:$D$16,"")</f>
        <v/>
      </c>
      <c r="E2">
        <f>XLOOKUP($B2,'GTA Eligible'!$B$2:$B$16,'GTA Eligible'!$E$2:$E$16,"")</f>
        <v/>
      </c>
      <c r="F2">
        <f>XLOOKUP($B2,'GTA Eligible'!$B$2:$B$16,'GTA Eligible'!$F$2:$F$16,"")</f>
        <v/>
      </c>
      <c r="G2">
        <f>XLOOKUP($B2,'GTA Eligible'!$B$2:$B$16,'GTA Eligible'!$G$2:$G$16,"")</f>
        <v/>
      </c>
      <c r="H2">
        <f>XLOOKUP($B2,'GTA Eligible'!$B$2:$B$16,'GTA Eligible'!$H$2:$H$16,"")</f>
        <v/>
      </c>
      <c r="I2">
        <f>XLOOKUP($B2,'GTA Eligible'!$B$2:$B$16,'GTA Eligible'!$I$2:$I$16,"")</f>
        <v/>
      </c>
      <c r="J2">
        <f>XLOOKUP($B2,'GTA Eligible'!$B$2:$B$16,'GTA Eligible'!$J$2:$J$16,"")</f>
        <v/>
      </c>
      <c r="K2">
        <f>XLOOKUP($B2,'GTA Eligible'!$B$2:$B$16,'GTA Eligible'!$K$2:$K$16,"")</f>
        <v/>
      </c>
      <c r="L2">
        <f>XLOOKUP($B2,'GTA Eligible'!$B$2:$B$16,'GTA Eligible'!$L$2:$L$16,"")</f>
        <v/>
      </c>
      <c r="M2">
        <f>XLOOKUP($B2,'GTA Eligible'!$B$2:$B$16,'GTA Eligible'!$M$2:$M$16,"")</f>
        <v/>
      </c>
      <c r="N2">
        <f>XLOOKUP($B2,'GTA Eligible'!$B$2:$B$16,'GTA Eligible'!$N$2:$N$16,"")</f>
        <v/>
      </c>
      <c r="O2">
        <f>XLOOKUP($B2,'GTA Eligible'!$B$2:$B$16,'GTA Eligible'!$O$2:$O$16,"")</f>
        <v/>
      </c>
      <c r="P2">
        <f>XLOOKUP($B2,'GTA Eligible'!$B$2:$B$16,'GTA Eligible'!$P$2:$P$16,"")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Eligible'!$B$2:$B$16,'GTA Eligible'!$A$2:$A$16,"")</f>
        <v/>
      </c>
      <c r="B3" t="inlineStr">
        <is>
          <t>1873</t>
        </is>
      </c>
      <c r="C3">
        <f>XLOOKUP($B3,'GTA Eligible'!$B$2:$B$16,'GTA Eligible'!$C$2:$C$16,"")</f>
        <v/>
      </c>
      <c r="D3">
        <f>XLOOKUP($B3,'GTA Eligible'!$B$2:$B$16,'GTA Eligible'!$D$2:$D$16,"")</f>
        <v/>
      </c>
      <c r="E3">
        <f>XLOOKUP($B3,'GTA Eligible'!$B$2:$B$16,'GTA Eligible'!$E$2:$E$16,"")</f>
        <v/>
      </c>
      <c r="F3">
        <f>XLOOKUP($B3,'GTA Eligible'!$B$2:$B$16,'GTA Eligible'!$F$2:$F$16,"")</f>
        <v/>
      </c>
      <c r="G3">
        <f>XLOOKUP($B3,'GTA Eligible'!$B$2:$B$16,'GTA Eligible'!$G$2:$G$16,"")</f>
        <v/>
      </c>
      <c r="H3">
        <f>XLOOKUP($B3,'GTA Eligible'!$B$2:$B$16,'GTA Eligible'!$H$2:$H$16,"")</f>
        <v/>
      </c>
      <c r="I3">
        <f>XLOOKUP($B3,'GTA Eligible'!$B$2:$B$16,'GTA Eligible'!$I$2:$I$16,"")</f>
        <v/>
      </c>
      <c r="J3">
        <f>XLOOKUP($B3,'GTA Eligible'!$B$2:$B$16,'GTA Eligible'!$J$2:$J$16,"")</f>
        <v/>
      </c>
      <c r="K3">
        <f>XLOOKUP($B3,'GTA Eligible'!$B$2:$B$16,'GTA Eligible'!$K$2:$K$16,"")</f>
        <v/>
      </c>
      <c r="L3">
        <f>XLOOKUP($B3,'GTA Eligible'!$B$2:$B$16,'GTA Eligible'!$L$2:$L$16,"")</f>
        <v/>
      </c>
      <c r="M3">
        <f>XLOOKUP($B3,'GTA Eligible'!$B$2:$B$16,'GTA Eligible'!$M$2:$M$16,"")</f>
        <v/>
      </c>
      <c r="N3">
        <f>XLOOKUP($B3,'GTA Eligible'!$B$2:$B$16,'GTA Eligible'!$N$2:$N$16,"")</f>
        <v/>
      </c>
      <c r="O3">
        <f>XLOOKUP($B3,'GTA Eligible'!$B$2:$B$16,'GTA Eligible'!$O$2:$O$16,"")</f>
        <v/>
      </c>
      <c r="P3">
        <f>XLOOKUP($B3,'GTA Eligible'!$B$2:$B$16,'GTA Eligible'!$P$2:$P$16,"")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Eligible'!$B$2:$B$16,'GTA Eligible'!$A$2:$A$16,"")</f>
        <v/>
      </c>
      <c r="B4" t="inlineStr">
        <is>
          <t>1886</t>
        </is>
      </c>
      <c r="C4">
        <f>XLOOKUP($B4,'GTA Eligible'!$B$2:$B$16,'GTA Eligible'!$C$2:$C$16,"")</f>
        <v/>
      </c>
      <c r="D4">
        <f>XLOOKUP($B4,'GTA Eligible'!$B$2:$B$16,'GTA Eligible'!$D$2:$D$16,"")</f>
        <v/>
      </c>
      <c r="E4">
        <f>XLOOKUP($B4,'GTA Eligible'!$B$2:$B$16,'GTA Eligible'!$E$2:$E$16,"")</f>
        <v/>
      </c>
      <c r="F4">
        <f>XLOOKUP($B4,'GTA Eligible'!$B$2:$B$16,'GTA Eligible'!$F$2:$F$16,"")</f>
        <v/>
      </c>
      <c r="G4">
        <f>XLOOKUP($B4,'GTA Eligible'!$B$2:$B$16,'GTA Eligible'!$G$2:$G$16,"")</f>
        <v/>
      </c>
      <c r="H4">
        <f>XLOOKUP($B4,'GTA Eligible'!$B$2:$B$16,'GTA Eligible'!$H$2:$H$16,"")</f>
        <v/>
      </c>
      <c r="I4">
        <f>XLOOKUP($B4,'GTA Eligible'!$B$2:$B$16,'GTA Eligible'!$I$2:$I$16,"")</f>
        <v/>
      </c>
      <c r="J4">
        <f>XLOOKUP($B4,'GTA Eligible'!$B$2:$B$16,'GTA Eligible'!$J$2:$J$16,"")</f>
        <v/>
      </c>
      <c r="K4">
        <f>XLOOKUP($B4,'GTA Eligible'!$B$2:$B$16,'GTA Eligible'!$K$2:$K$16,"")</f>
        <v/>
      </c>
      <c r="L4">
        <f>XLOOKUP($B4,'GTA Eligible'!$B$2:$B$16,'GTA Eligible'!$L$2:$L$16,"")</f>
        <v/>
      </c>
      <c r="M4">
        <f>XLOOKUP($B4,'GTA Eligible'!$B$2:$B$16,'GTA Eligible'!$M$2:$M$16,"")</f>
        <v/>
      </c>
      <c r="N4">
        <f>XLOOKUP($B4,'GTA Eligible'!$B$2:$B$16,'GTA Eligible'!$N$2:$N$16,"")</f>
        <v/>
      </c>
      <c r="O4">
        <f>XLOOKUP($B4,'GTA Eligible'!$B$2:$B$16,'GTA Eligible'!$O$2:$O$16,"")</f>
        <v/>
      </c>
      <c r="P4">
        <f>XLOOKUP($B4,'GTA Eligible'!$B$2:$B$16,'GTA Eligible'!$P$2:$P$16,"")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Eligible'!$B$2:$B$16,'GTA Eligible'!$A$2:$A$16,"")</f>
        <v/>
      </c>
      <c r="B5" t="inlineStr">
        <is>
          <t>1938</t>
        </is>
      </c>
      <c r="C5">
        <f>XLOOKUP($B5,'GTA Eligible'!$B$2:$B$16,'GTA Eligible'!$C$2:$C$16,"")</f>
        <v/>
      </c>
      <c r="D5">
        <f>XLOOKUP($B5,'GTA Eligible'!$B$2:$B$16,'GTA Eligible'!$D$2:$D$16,"")</f>
        <v/>
      </c>
      <c r="E5">
        <f>XLOOKUP($B5,'GTA Eligible'!$B$2:$B$16,'GTA Eligible'!$E$2:$E$16,"")</f>
        <v/>
      </c>
      <c r="F5">
        <f>XLOOKUP($B5,'GTA Eligible'!$B$2:$B$16,'GTA Eligible'!$F$2:$F$16,"")</f>
        <v/>
      </c>
      <c r="G5">
        <f>XLOOKUP($B5,'GTA Eligible'!$B$2:$B$16,'GTA Eligible'!$G$2:$G$16,"")</f>
        <v/>
      </c>
      <c r="H5">
        <f>XLOOKUP($B5,'GTA Eligible'!$B$2:$B$16,'GTA Eligible'!$H$2:$H$16,"")</f>
        <v/>
      </c>
      <c r="I5">
        <f>XLOOKUP($B5,'GTA Eligible'!$B$2:$B$16,'GTA Eligible'!$I$2:$I$16,"")</f>
        <v/>
      </c>
      <c r="J5">
        <f>XLOOKUP($B5,'GTA Eligible'!$B$2:$B$16,'GTA Eligible'!$J$2:$J$16,"")</f>
        <v/>
      </c>
      <c r="K5">
        <f>XLOOKUP($B5,'GTA Eligible'!$B$2:$B$16,'GTA Eligible'!$K$2:$K$16,"")</f>
        <v/>
      </c>
      <c r="L5">
        <f>XLOOKUP($B5,'GTA Eligible'!$B$2:$B$16,'GTA Eligible'!$L$2:$L$16,"")</f>
        <v/>
      </c>
      <c r="M5">
        <f>XLOOKUP($B5,'GTA Eligible'!$B$2:$B$16,'GTA Eligible'!$M$2:$M$16,"")</f>
        <v/>
      </c>
      <c r="N5">
        <f>XLOOKUP($B5,'GTA Eligible'!$B$2:$B$16,'GTA Eligible'!$N$2:$N$16,"")</f>
        <v/>
      </c>
      <c r="O5">
        <f>XLOOKUP($B5,'GTA Eligible'!$B$2:$B$16,'GTA Eligible'!$O$2:$O$16,"")</f>
        <v/>
      </c>
      <c r="P5">
        <f>XLOOKUP($B5,'GTA Eligible'!$B$2:$B$16,'GTA Eligible'!$P$2:$P$16,"")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Eligible'!$B$2:$B$16,'GTA Eligible'!$A$2:$A$16,"")</f>
        <v/>
      </c>
      <c r="B6" t="inlineStr">
        <is>
          <t>1874</t>
        </is>
      </c>
      <c r="C6">
        <f>XLOOKUP($B6,'GTA Eligible'!$B$2:$B$16,'GTA Eligible'!$C$2:$C$16,"")</f>
        <v/>
      </c>
      <c r="D6">
        <f>XLOOKUP($B6,'GTA Eligible'!$B$2:$B$16,'GTA Eligible'!$D$2:$D$16,"")</f>
        <v/>
      </c>
      <c r="E6">
        <f>XLOOKUP($B6,'GTA Eligible'!$B$2:$B$16,'GTA Eligible'!$E$2:$E$16,"")</f>
        <v/>
      </c>
      <c r="F6">
        <f>XLOOKUP($B6,'GTA Eligible'!$B$2:$B$16,'GTA Eligible'!$F$2:$F$16,"")</f>
        <v/>
      </c>
      <c r="G6">
        <f>XLOOKUP($B6,'GTA Eligible'!$B$2:$B$16,'GTA Eligible'!$G$2:$G$16,"")</f>
        <v/>
      </c>
      <c r="H6">
        <f>XLOOKUP($B6,'GTA Eligible'!$B$2:$B$16,'GTA Eligible'!$H$2:$H$16,"")</f>
        <v/>
      </c>
      <c r="I6">
        <f>XLOOKUP($B6,'GTA Eligible'!$B$2:$B$16,'GTA Eligible'!$I$2:$I$16,"")</f>
        <v/>
      </c>
      <c r="J6">
        <f>XLOOKUP($B6,'GTA Eligible'!$B$2:$B$16,'GTA Eligible'!$J$2:$J$16,"")</f>
        <v/>
      </c>
      <c r="K6">
        <f>XLOOKUP($B6,'GTA Eligible'!$B$2:$B$16,'GTA Eligible'!$K$2:$K$16,"")</f>
        <v/>
      </c>
      <c r="L6">
        <f>XLOOKUP($B6,'GTA Eligible'!$B$2:$B$16,'GTA Eligible'!$L$2:$L$16,"")</f>
        <v/>
      </c>
      <c r="M6">
        <f>XLOOKUP($B6,'GTA Eligible'!$B$2:$B$16,'GTA Eligible'!$M$2:$M$16,"")</f>
        <v/>
      </c>
      <c r="N6">
        <f>XLOOKUP($B6,'GTA Eligible'!$B$2:$B$16,'GTA Eligible'!$N$2:$N$16,"")</f>
        <v/>
      </c>
      <c r="O6">
        <f>XLOOKUP($B6,'GTA Eligible'!$B$2:$B$16,'GTA Eligible'!$O$2:$O$16,"")</f>
        <v/>
      </c>
      <c r="P6">
        <f>XLOOKUP($B6,'GTA Eligible'!$B$2:$B$16,'GTA Eligible'!$P$2:$P$16,"")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Eligible'!$B$2:$B$16,'GTA Eligible'!$A$2:$A$16,"")</f>
        <v/>
      </c>
      <c r="B7" t="inlineStr">
        <is>
          <t>1875</t>
        </is>
      </c>
      <c r="C7">
        <f>XLOOKUP($B7,'GTA Eligible'!$B$2:$B$16,'GTA Eligible'!$C$2:$C$16,"")</f>
        <v/>
      </c>
      <c r="D7">
        <f>XLOOKUP($B7,'GTA Eligible'!$B$2:$B$16,'GTA Eligible'!$D$2:$D$16,"")</f>
        <v/>
      </c>
      <c r="E7">
        <f>XLOOKUP($B7,'GTA Eligible'!$B$2:$B$16,'GTA Eligible'!$E$2:$E$16,"")</f>
        <v/>
      </c>
      <c r="F7">
        <f>XLOOKUP($B7,'GTA Eligible'!$B$2:$B$16,'GTA Eligible'!$F$2:$F$16,"")</f>
        <v/>
      </c>
      <c r="G7">
        <f>XLOOKUP($B7,'GTA Eligible'!$B$2:$B$16,'GTA Eligible'!$G$2:$G$16,"")</f>
        <v/>
      </c>
      <c r="H7">
        <f>XLOOKUP($B7,'GTA Eligible'!$B$2:$B$16,'GTA Eligible'!$H$2:$H$16,"")</f>
        <v/>
      </c>
      <c r="I7">
        <f>XLOOKUP($B7,'GTA Eligible'!$B$2:$B$16,'GTA Eligible'!$I$2:$I$16,"")</f>
        <v/>
      </c>
      <c r="J7">
        <f>XLOOKUP($B7,'GTA Eligible'!$B$2:$B$16,'GTA Eligible'!$J$2:$J$16,"")</f>
        <v/>
      </c>
      <c r="K7">
        <f>XLOOKUP($B7,'GTA Eligible'!$B$2:$B$16,'GTA Eligible'!$K$2:$K$16,"")</f>
        <v/>
      </c>
      <c r="L7">
        <f>XLOOKUP($B7,'GTA Eligible'!$B$2:$B$16,'GTA Eligible'!$L$2:$L$16,"")</f>
        <v/>
      </c>
      <c r="M7">
        <f>XLOOKUP($B7,'GTA Eligible'!$B$2:$B$16,'GTA Eligible'!$M$2:$M$16,"")</f>
        <v/>
      </c>
      <c r="N7">
        <f>XLOOKUP($B7,'GTA Eligible'!$B$2:$B$16,'GTA Eligible'!$N$2:$N$16,"")</f>
        <v/>
      </c>
      <c r="O7">
        <f>XLOOKUP($B7,'GTA Eligible'!$B$2:$B$16,'GTA Eligible'!$O$2:$O$16,"")</f>
        <v/>
      </c>
      <c r="P7">
        <f>XLOOKUP($B7,'GTA Eligible'!$B$2:$B$16,'GTA Eligible'!$P$2:$P$16,"")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Eligible'!$B$2:$B$16,'GTA Eligible'!$A$2:$A$16,"")</f>
        <v/>
      </c>
      <c r="B8" t="inlineStr">
        <is>
          <t>1878</t>
        </is>
      </c>
      <c r="C8">
        <f>XLOOKUP($B8,'GTA Eligible'!$B$2:$B$16,'GTA Eligible'!$C$2:$C$16,"")</f>
        <v/>
      </c>
      <c r="D8">
        <f>XLOOKUP($B8,'GTA Eligible'!$B$2:$B$16,'GTA Eligible'!$D$2:$D$16,"")</f>
        <v/>
      </c>
      <c r="E8">
        <f>XLOOKUP($B8,'GTA Eligible'!$B$2:$B$16,'GTA Eligible'!$E$2:$E$16,"")</f>
        <v/>
      </c>
      <c r="F8">
        <f>XLOOKUP($B8,'GTA Eligible'!$B$2:$B$16,'GTA Eligible'!$F$2:$F$16,"")</f>
        <v/>
      </c>
      <c r="G8">
        <f>XLOOKUP($B8,'GTA Eligible'!$B$2:$B$16,'GTA Eligible'!$G$2:$G$16,"")</f>
        <v/>
      </c>
      <c r="H8">
        <f>XLOOKUP($B8,'GTA Eligible'!$B$2:$B$16,'GTA Eligible'!$H$2:$H$16,"")</f>
        <v/>
      </c>
      <c r="I8">
        <f>XLOOKUP($B8,'GTA Eligible'!$B$2:$B$16,'GTA Eligible'!$I$2:$I$16,"")</f>
        <v/>
      </c>
      <c r="J8">
        <f>XLOOKUP($B8,'GTA Eligible'!$B$2:$B$16,'GTA Eligible'!$J$2:$J$16,"")</f>
        <v/>
      </c>
      <c r="K8">
        <f>XLOOKUP($B8,'GTA Eligible'!$B$2:$B$16,'GTA Eligible'!$K$2:$K$16,"")</f>
        <v/>
      </c>
      <c r="L8">
        <f>XLOOKUP($B8,'GTA Eligible'!$B$2:$B$16,'GTA Eligible'!$L$2:$L$16,"")</f>
        <v/>
      </c>
      <c r="M8">
        <f>XLOOKUP($B8,'GTA Eligible'!$B$2:$B$16,'GTA Eligible'!$M$2:$M$16,"")</f>
        <v/>
      </c>
      <c r="N8">
        <f>XLOOKUP($B8,'GTA Eligible'!$B$2:$B$16,'GTA Eligible'!$N$2:$N$16,"")</f>
        <v/>
      </c>
      <c r="O8">
        <f>XLOOKUP($B8,'GTA Eligible'!$B$2:$B$16,'GTA Eligible'!$O$2:$O$16,"")</f>
        <v/>
      </c>
      <c r="P8">
        <f>XLOOKUP($B8,'GTA Eligible'!$B$2:$B$16,'GTA Eligible'!$P$2:$P$16,"")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Eligible'!$B$2:$B$16,'GTA Eligible'!$A$2:$A$16,"")</f>
        <v/>
      </c>
      <c r="B9" t="inlineStr">
        <is>
          <t>1879</t>
        </is>
      </c>
      <c r="C9">
        <f>XLOOKUP($B9,'GTA Eligible'!$B$2:$B$16,'GTA Eligible'!$C$2:$C$16,"")</f>
        <v/>
      </c>
      <c r="D9">
        <f>XLOOKUP($B9,'GTA Eligible'!$B$2:$B$16,'GTA Eligible'!$D$2:$D$16,"")</f>
        <v/>
      </c>
      <c r="E9">
        <f>XLOOKUP($B9,'GTA Eligible'!$B$2:$B$16,'GTA Eligible'!$E$2:$E$16,"")</f>
        <v/>
      </c>
      <c r="F9">
        <f>XLOOKUP($B9,'GTA Eligible'!$B$2:$B$16,'GTA Eligible'!$F$2:$F$16,"")</f>
        <v/>
      </c>
      <c r="G9">
        <f>XLOOKUP($B9,'GTA Eligible'!$B$2:$B$16,'GTA Eligible'!$G$2:$G$16,"")</f>
        <v/>
      </c>
      <c r="H9">
        <f>XLOOKUP($B9,'GTA Eligible'!$B$2:$B$16,'GTA Eligible'!$H$2:$H$16,"")</f>
        <v/>
      </c>
      <c r="I9">
        <f>XLOOKUP($B9,'GTA Eligible'!$B$2:$B$16,'GTA Eligible'!$I$2:$I$16,"")</f>
        <v/>
      </c>
      <c r="J9">
        <f>XLOOKUP($B9,'GTA Eligible'!$B$2:$B$16,'GTA Eligible'!$J$2:$J$16,"")</f>
        <v/>
      </c>
      <c r="K9">
        <f>XLOOKUP($B9,'GTA Eligible'!$B$2:$B$16,'GTA Eligible'!$K$2:$K$16,"")</f>
        <v/>
      </c>
      <c r="L9">
        <f>XLOOKUP($B9,'GTA Eligible'!$B$2:$B$16,'GTA Eligible'!$L$2:$L$16,"")</f>
        <v/>
      </c>
      <c r="M9">
        <f>XLOOKUP($B9,'GTA Eligible'!$B$2:$B$16,'GTA Eligible'!$M$2:$M$16,"")</f>
        <v/>
      </c>
      <c r="N9">
        <f>XLOOKUP($B9,'GTA Eligible'!$B$2:$B$16,'GTA Eligible'!$N$2:$N$16,"")</f>
        <v/>
      </c>
      <c r="O9">
        <f>XLOOKUP($B9,'GTA Eligible'!$B$2:$B$16,'GTA Eligible'!$O$2:$O$16,"")</f>
        <v/>
      </c>
      <c r="P9">
        <f>XLOOKUP($B9,'GTA Eligible'!$B$2:$B$16,'GTA Eligible'!$P$2:$P$16,"")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Eligible'!$B$2:$B$16,'GTA Eligible'!$A$2:$A$16,"")</f>
        <v/>
      </c>
      <c r="B10" t="inlineStr">
        <is>
          <t>2238</t>
        </is>
      </c>
      <c r="C10">
        <f>XLOOKUP($B10,'GTA Eligible'!$B$2:$B$16,'GTA Eligible'!$C$2:$C$16,"")</f>
        <v/>
      </c>
      <c r="D10">
        <f>XLOOKUP($B10,'GTA Eligible'!$B$2:$B$16,'GTA Eligible'!$D$2:$D$16,"")</f>
        <v/>
      </c>
      <c r="E10">
        <f>XLOOKUP($B10,'GTA Eligible'!$B$2:$B$16,'GTA Eligible'!$E$2:$E$16,"")</f>
        <v/>
      </c>
      <c r="F10">
        <f>XLOOKUP($B10,'GTA Eligible'!$B$2:$B$16,'GTA Eligible'!$F$2:$F$16,"")</f>
        <v/>
      </c>
      <c r="G10">
        <f>XLOOKUP($B10,'GTA Eligible'!$B$2:$B$16,'GTA Eligible'!$G$2:$G$16,"")</f>
        <v/>
      </c>
      <c r="H10">
        <f>XLOOKUP($B10,'GTA Eligible'!$B$2:$B$16,'GTA Eligible'!$H$2:$H$16,"")</f>
        <v/>
      </c>
      <c r="I10">
        <f>XLOOKUP($B10,'GTA Eligible'!$B$2:$B$16,'GTA Eligible'!$I$2:$I$16,"")</f>
        <v/>
      </c>
      <c r="J10">
        <f>XLOOKUP($B10,'GTA Eligible'!$B$2:$B$16,'GTA Eligible'!$J$2:$J$16,"")</f>
        <v/>
      </c>
      <c r="K10">
        <f>XLOOKUP($B10,'GTA Eligible'!$B$2:$B$16,'GTA Eligible'!$K$2:$K$16,"")</f>
        <v/>
      </c>
      <c r="L10">
        <f>XLOOKUP($B10,'GTA Eligible'!$B$2:$B$16,'GTA Eligible'!$L$2:$L$16,"")</f>
        <v/>
      </c>
      <c r="M10">
        <f>XLOOKUP($B10,'GTA Eligible'!$B$2:$B$16,'GTA Eligible'!$M$2:$M$16,"")</f>
        <v/>
      </c>
      <c r="N10">
        <f>XLOOKUP($B10,'GTA Eligible'!$B$2:$B$16,'GTA Eligible'!$N$2:$N$16,"")</f>
        <v/>
      </c>
      <c r="O10">
        <f>XLOOKUP($B10,'GTA Eligible'!$B$2:$B$16,'GTA Eligible'!$O$2:$O$16,"")</f>
        <v/>
      </c>
      <c r="P10">
        <f>XLOOKUP($B10,'GTA Eligible'!$B$2:$B$16,'GTA Eligible'!$P$2:$P$16,"")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Eligible'!$B$2:$B$16,'GTA Eligible'!$A$2:$A$16,"")</f>
        <v/>
      </c>
      <c r="B11" t="inlineStr">
        <is>
          <t>1884</t>
        </is>
      </c>
      <c r="C11">
        <f>XLOOKUP($B11,'GTA Eligible'!$B$2:$B$16,'GTA Eligible'!$C$2:$C$16,"")</f>
        <v/>
      </c>
      <c r="D11">
        <f>XLOOKUP($B11,'GTA Eligible'!$B$2:$B$16,'GTA Eligible'!$D$2:$D$16,"")</f>
        <v/>
      </c>
      <c r="E11">
        <f>XLOOKUP($B11,'GTA Eligible'!$B$2:$B$16,'GTA Eligible'!$E$2:$E$16,"")</f>
        <v/>
      </c>
      <c r="F11">
        <f>XLOOKUP($B11,'GTA Eligible'!$B$2:$B$16,'GTA Eligible'!$F$2:$F$16,"")</f>
        <v/>
      </c>
      <c r="G11">
        <f>XLOOKUP($B11,'GTA Eligible'!$B$2:$B$16,'GTA Eligible'!$G$2:$G$16,"")</f>
        <v/>
      </c>
      <c r="H11">
        <f>XLOOKUP($B11,'GTA Eligible'!$B$2:$B$16,'GTA Eligible'!$H$2:$H$16,"")</f>
        <v/>
      </c>
      <c r="I11">
        <f>XLOOKUP($B11,'GTA Eligible'!$B$2:$B$16,'GTA Eligible'!$I$2:$I$16,"")</f>
        <v/>
      </c>
      <c r="J11">
        <f>XLOOKUP($B11,'GTA Eligible'!$B$2:$B$16,'GTA Eligible'!$J$2:$J$16,"")</f>
        <v/>
      </c>
      <c r="K11">
        <f>XLOOKUP($B11,'GTA Eligible'!$B$2:$B$16,'GTA Eligible'!$K$2:$K$16,"")</f>
        <v/>
      </c>
      <c r="L11">
        <f>XLOOKUP($B11,'GTA Eligible'!$B$2:$B$16,'GTA Eligible'!$L$2:$L$16,"")</f>
        <v/>
      </c>
      <c r="M11">
        <f>XLOOKUP($B11,'GTA Eligible'!$B$2:$B$16,'GTA Eligible'!$M$2:$M$16,"")</f>
        <v/>
      </c>
      <c r="N11">
        <f>XLOOKUP($B11,'GTA Eligible'!$B$2:$B$16,'GTA Eligible'!$N$2:$N$16,"")</f>
        <v/>
      </c>
      <c r="O11">
        <f>XLOOKUP($B11,'GTA Eligible'!$B$2:$B$16,'GTA Eligible'!$O$2:$O$16,"")</f>
        <v/>
      </c>
      <c r="P11">
        <f>XLOOKUP($B11,'GTA Eligible'!$B$2:$B$16,'GTA Eligible'!$P$2:$P$16,"")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Eligible'!$B$2:$B$16,'GTA Eligible'!$A$2:$A$16,"")</f>
        <v/>
      </c>
      <c r="B12" t="inlineStr">
        <is>
          <t>1197</t>
        </is>
      </c>
      <c r="C12">
        <f>XLOOKUP($B12,'GTA Eligible'!$B$2:$B$16,'GTA Eligible'!$C$2:$C$16,"")</f>
        <v/>
      </c>
      <c r="D12">
        <f>XLOOKUP($B12,'GTA Eligible'!$B$2:$B$16,'GTA Eligible'!$D$2:$D$16,"")</f>
        <v/>
      </c>
      <c r="E12">
        <f>XLOOKUP($B12,'GTA Eligible'!$B$2:$B$16,'GTA Eligible'!$E$2:$E$16,"")</f>
        <v/>
      </c>
      <c r="F12">
        <f>XLOOKUP($B12,'GTA Eligible'!$B$2:$B$16,'GTA Eligible'!$F$2:$F$16,"")</f>
        <v/>
      </c>
      <c r="G12">
        <f>XLOOKUP($B12,'GTA Eligible'!$B$2:$B$16,'GTA Eligible'!$G$2:$G$16,"")</f>
        <v/>
      </c>
      <c r="H12">
        <f>XLOOKUP($B12,'GTA Eligible'!$B$2:$B$16,'GTA Eligible'!$H$2:$H$16,"")</f>
        <v/>
      </c>
      <c r="I12">
        <f>XLOOKUP($B12,'GTA Eligible'!$B$2:$B$16,'GTA Eligible'!$I$2:$I$16,"")</f>
        <v/>
      </c>
      <c r="J12">
        <f>XLOOKUP($B12,'GTA Eligible'!$B$2:$B$16,'GTA Eligible'!$J$2:$J$16,"")</f>
        <v/>
      </c>
      <c r="K12">
        <f>XLOOKUP($B12,'GTA Eligible'!$B$2:$B$16,'GTA Eligible'!$K$2:$K$16,"")</f>
        <v/>
      </c>
      <c r="L12">
        <f>XLOOKUP($B12,'GTA Eligible'!$B$2:$B$16,'GTA Eligible'!$L$2:$L$16,"")</f>
        <v/>
      </c>
      <c r="M12">
        <f>XLOOKUP($B12,'GTA Eligible'!$B$2:$B$16,'GTA Eligible'!$M$2:$M$16,"")</f>
        <v/>
      </c>
      <c r="N12">
        <f>XLOOKUP($B12,'GTA Eligible'!$B$2:$B$16,'GTA Eligible'!$N$2:$N$16,"")</f>
        <v/>
      </c>
      <c r="O12">
        <f>XLOOKUP($B12,'GTA Eligible'!$B$2:$B$16,'GTA Eligible'!$O$2:$O$16,"")</f>
        <v/>
      </c>
      <c r="P12">
        <f>XLOOKUP($B12,'GTA Eligible'!$B$2:$B$16,'GTA Eligible'!$P$2:$P$16,"")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Eligible'!$B$2:$B$16,'GTA Eligible'!$A$2:$A$16,"")</f>
        <v/>
      </c>
      <c r="B13" t="inlineStr">
        <is>
          <t>1882</t>
        </is>
      </c>
      <c r="C13">
        <f>XLOOKUP($B13,'GTA Eligible'!$B$2:$B$16,'GTA Eligible'!$C$2:$C$16,"")</f>
        <v/>
      </c>
      <c r="D13">
        <f>XLOOKUP($B13,'GTA Eligible'!$B$2:$B$16,'GTA Eligible'!$D$2:$D$16,"")</f>
        <v/>
      </c>
      <c r="E13">
        <f>XLOOKUP($B13,'GTA Eligible'!$B$2:$B$16,'GTA Eligible'!$E$2:$E$16,"")</f>
        <v/>
      </c>
      <c r="F13">
        <f>XLOOKUP($B13,'GTA Eligible'!$B$2:$B$16,'GTA Eligible'!$F$2:$F$16,"")</f>
        <v/>
      </c>
      <c r="G13">
        <f>XLOOKUP($B13,'GTA Eligible'!$B$2:$B$16,'GTA Eligible'!$G$2:$G$16,"")</f>
        <v/>
      </c>
      <c r="H13">
        <f>XLOOKUP($B13,'GTA Eligible'!$B$2:$B$16,'GTA Eligible'!$H$2:$H$16,"")</f>
        <v/>
      </c>
      <c r="I13">
        <f>XLOOKUP($B13,'GTA Eligible'!$B$2:$B$16,'GTA Eligible'!$I$2:$I$16,"")</f>
        <v/>
      </c>
      <c r="J13">
        <f>XLOOKUP($B13,'GTA Eligible'!$B$2:$B$16,'GTA Eligible'!$J$2:$J$16,"")</f>
        <v/>
      </c>
      <c r="K13">
        <f>XLOOKUP($B13,'GTA Eligible'!$B$2:$B$16,'GTA Eligible'!$K$2:$K$16,"")</f>
        <v/>
      </c>
      <c r="L13">
        <f>XLOOKUP($B13,'GTA Eligible'!$B$2:$B$16,'GTA Eligible'!$L$2:$L$16,"")</f>
        <v/>
      </c>
      <c r="M13">
        <f>XLOOKUP($B13,'GTA Eligible'!$B$2:$B$16,'GTA Eligible'!$M$2:$M$16,"")</f>
        <v/>
      </c>
      <c r="N13">
        <f>XLOOKUP($B13,'GTA Eligible'!$B$2:$B$16,'GTA Eligible'!$N$2:$N$16,"")</f>
        <v/>
      </c>
      <c r="O13">
        <f>XLOOKUP($B13,'GTA Eligible'!$B$2:$B$16,'GTA Eligible'!$O$2:$O$16,"")</f>
        <v/>
      </c>
      <c r="P13">
        <f>XLOOKUP($B13,'GTA Eligible'!$B$2:$B$16,'GTA Eligible'!$P$2:$P$16,"")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Eligible'!$B$2:$B$16,'GTA Eligible'!$A$2:$A$16,"")</f>
        <v/>
      </c>
      <c r="B14" t="inlineStr">
        <is>
          <t>1937</t>
        </is>
      </c>
      <c r="C14">
        <f>XLOOKUP($B14,'GTA Eligible'!$B$2:$B$16,'GTA Eligible'!$C$2:$C$16,"")</f>
        <v/>
      </c>
      <c r="D14">
        <f>XLOOKUP($B14,'GTA Eligible'!$B$2:$B$16,'GTA Eligible'!$D$2:$D$16,"")</f>
        <v/>
      </c>
      <c r="E14">
        <f>XLOOKUP($B14,'GTA Eligible'!$B$2:$B$16,'GTA Eligible'!$E$2:$E$16,"")</f>
        <v/>
      </c>
      <c r="F14">
        <f>XLOOKUP($B14,'GTA Eligible'!$B$2:$B$16,'GTA Eligible'!$F$2:$F$16,"")</f>
        <v/>
      </c>
      <c r="G14">
        <f>XLOOKUP($B14,'GTA Eligible'!$B$2:$B$16,'GTA Eligible'!$G$2:$G$16,"")</f>
        <v/>
      </c>
      <c r="H14">
        <f>XLOOKUP($B14,'GTA Eligible'!$B$2:$B$16,'GTA Eligible'!$H$2:$H$16,"")</f>
        <v/>
      </c>
      <c r="I14">
        <f>XLOOKUP($B14,'GTA Eligible'!$B$2:$B$16,'GTA Eligible'!$I$2:$I$16,"")</f>
        <v/>
      </c>
      <c r="J14">
        <f>XLOOKUP($B14,'GTA Eligible'!$B$2:$B$16,'GTA Eligible'!$J$2:$J$16,"")</f>
        <v/>
      </c>
      <c r="K14">
        <f>XLOOKUP($B14,'GTA Eligible'!$B$2:$B$16,'GTA Eligible'!$K$2:$K$16,"")</f>
        <v/>
      </c>
      <c r="L14">
        <f>XLOOKUP($B14,'GTA Eligible'!$B$2:$B$16,'GTA Eligible'!$L$2:$L$16,"")</f>
        <v/>
      </c>
      <c r="M14">
        <f>XLOOKUP($B14,'GTA Eligible'!$B$2:$B$16,'GTA Eligible'!$M$2:$M$16,"")</f>
        <v/>
      </c>
      <c r="N14">
        <f>XLOOKUP($B14,'GTA Eligible'!$B$2:$B$16,'GTA Eligible'!$N$2:$N$16,"")</f>
        <v/>
      </c>
      <c r="O14">
        <f>XLOOKUP($B14,'GTA Eligible'!$B$2:$B$16,'GTA Eligible'!$O$2:$O$16,"")</f>
        <v/>
      </c>
      <c r="P14">
        <f>XLOOKUP($B14,'GTA Eligible'!$B$2:$B$16,'GTA Eligible'!$P$2:$P$16,"")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Eligible'!$B$2:$B$16,'GTA Eligible'!$A$2:$A$16,"")</f>
        <v/>
      </c>
      <c r="B15" t="inlineStr">
        <is>
          <t>1898</t>
        </is>
      </c>
      <c r="C15">
        <f>XLOOKUP($B15,'GTA Eligible'!$B$2:$B$16,'GTA Eligible'!$C$2:$C$16,"")</f>
        <v/>
      </c>
      <c r="D15">
        <f>XLOOKUP($B15,'GTA Eligible'!$B$2:$B$16,'GTA Eligible'!$D$2:$D$16,"")</f>
        <v/>
      </c>
      <c r="E15">
        <f>XLOOKUP($B15,'GTA Eligible'!$B$2:$B$16,'GTA Eligible'!$E$2:$E$16,"")</f>
        <v/>
      </c>
      <c r="F15">
        <f>XLOOKUP($B15,'GTA Eligible'!$B$2:$B$16,'GTA Eligible'!$F$2:$F$16,"")</f>
        <v/>
      </c>
      <c r="G15">
        <f>XLOOKUP($B15,'GTA Eligible'!$B$2:$B$16,'GTA Eligible'!$G$2:$G$16,"")</f>
        <v/>
      </c>
      <c r="H15">
        <f>XLOOKUP($B15,'GTA Eligible'!$B$2:$B$16,'GTA Eligible'!$H$2:$H$16,"")</f>
        <v/>
      </c>
      <c r="I15">
        <f>XLOOKUP($B15,'GTA Eligible'!$B$2:$B$16,'GTA Eligible'!$I$2:$I$16,"")</f>
        <v/>
      </c>
      <c r="J15">
        <f>XLOOKUP($B15,'GTA Eligible'!$B$2:$B$16,'GTA Eligible'!$J$2:$J$16,"")</f>
        <v/>
      </c>
      <c r="K15">
        <f>XLOOKUP($B15,'GTA Eligible'!$B$2:$B$16,'GTA Eligible'!$K$2:$K$16,"")</f>
        <v/>
      </c>
      <c r="L15">
        <f>XLOOKUP($B15,'GTA Eligible'!$B$2:$B$16,'GTA Eligible'!$L$2:$L$16,"")</f>
        <v/>
      </c>
      <c r="M15">
        <f>XLOOKUP($B15,'GTA Eligible'!$B$2:$B$16,'GTA Eligible'!$M$2:$M$16,"")</f>
        <v/>
      </c>
      <c r="N15">
        <f>XLOOKUP($B15,'GTA Eligible'!$B$2:$B$16,'GTA Eligible'!$N$2:$N$16,"")</f>
        <v/>
      </c>
      <c r="O15">
        <f>XLOOKUP($B15,'GTA Eligible'!$B$2:$B$16,'GTA Eligible'!$O$2:$O$16,"")</f>
        <v/>
      </c>
      <c r="P15">
        <f>XLOOKUP($B15,'GTA Eligible'!$B$2:$B$16,'GTA Eligible'!$P$2:$P$16,"")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Eligible'!$B$2:$B$16,'GTA Eligible'!$A$2:$A$16,"")</f>
        <v/>
      </c>
      <c r="B16" t="inlineStr">
        <is>
          <t>1198</t>
        </is>
      </c>
      <c r="C16">
        <f>XLOOKUP($B16,'GTA Eligible'!$B$2:$B$16,'GTA Eligible'!$C$2:$C$16,"")</f>
        <v/>
      </c>
      <c r="D16">
        <f>XLOOKUP($B16,'GTA Eligible'!$B$2:$B$16,'GTA Eligible'!$D$2:$D$16,"")</f>
        <v/>
      </c>
      <c r="E16">
        <f>XLOOKUP($B16,'GTA Eligible'!$B$2:$B$16,'GTA Eligible'!$E$2:$E$16,"")</f>
        <v/>
      </c>
      <c r="F16">
        <f>XLOOKUP($B16,'GTA Eligible'!$B$2:$B$16,'GTA Eligible'!$F$2:$F$16,"")</f>
        <v/>
      </c>
      <c r="G16">
        <f>XLOOKUP($B16,'GTA Eligible'!$B$2:$B$16,'GTA Eligible'!$G$2:$G$16,"")</f>
        <v/>
      </c>
      <c r="H16">
        <f>XLOOKUP($B16,'GTA Eligible'!$B$2:$B$16,'GTA Eligible'!$H$2:$H$16,"")</f>
        <v/>
      </c>
      <c r="I16">
        <f>XLOOKUP($B16,'GTA Eligible'!$B$2:$B$16,'GTA Eligible'!$I$2:$I$16,"")</f>
        <v/>
      </c>
      <c r="J16">
        <f>XLOOKUP($B16,'GTA Eligible'!$B$2:$B$16,'GTA Eligible'!$J$2:$J$16,"")</f>
        <v/>
      </c>
      <c r="K16">
        <f>XLOOKUP($B16,'GTA Eligible'!$B$2:$B$16,'GTA Eligible'!$K$2:$K$16,"")</f>
        <v/>
      </c>
      <c r="L16">
        <f>XLOOKUP($B16,'GTA Eligible'!$B$2:$B$16,'GTA Eligible'!$L$2:$L$16,"")</f>
        <v/>
      </c>
      <c r="M16">
        <f>XLOOKUP($B16,'GTA Eligible'!$B$2:$B$16,'GTA Eligible'!$M$2:$M$16,"")</f>
        <v/>
      </c>
      <c r="N16">
        <f>XLOOKUP($B16,'GTA Eligible'!$B$2:$B$16,'GTA Eligible'!$N$2:$N$16,"")</f>
        <v/>
      </c>
      <c r="O16">
        <f>XLOOKUP($B16,'GTA Eligible'!$B$2:$B$16,'GTA Eligible'!$O$2:$O$16,"")</f>
        <v/>
      </c>
      <c r="P16">
        <f>XLOOKUP($B16,'GTA Eligible'!$B$2:$B$16,'GTA Eligible'!$P$2:$P$16,"")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2141</t>
        </is>
      </c>
      <c r="C1" t="inlineStr">
        <is>
          <t>1873</t>
        </is>
      </c>
      <c r="D1" t="inlineStr">
        <is>
          <t>1886</t>
        </is>
      </c>
      <c r="E1" t="inlineStr">
        <is>
          <t>1938</t>
        </is>
      </c>
      <c r="F1" t="inlineStr">
        <is>
          <t>1874</t>
        </is>
      </c>
      <c r="G1" t="inlineStr">
        <is>
          <t>1875</t>
        </is>
      </c>
      <c r="H1" t="inlineStr">
        <is>
          <t>1878</t>
        </is>
      </c>
      <c r="I1" t="inlineStr">
        <is>
          <t>1879</t>
        </is>
      </c>
      <c r="J1" t="inlineStr">
        <is>
          <t>2238</t>
        </is>
      </c>
      <c r="K1" t="inlineStr">
        <is>
          <t>1884</t>
        </is>
      </c>
      <c r="L1" t="inlineStr">
        <is>
          <t>1197</t>
        </is>
      </c>
      <c r="M1" t="inlineStr">
        <is>
          <t>1882</t>
        </is>
      </c>
      <c r="N1" t="inlineStr">
        <is>
          <t>1937</t>
        </is>
      </c>
      <c r="O1" t="inlineStr">
        <is>
          <t>1898</t>
        </is>
      </c>
      <c r="P1" t="inlineStr">
        <is>
          <t>1198</t>
        </is>
      </c>
    </row>
    <row r="2">
      <c r="A2" t="inlineStr">
        <is>
          <t>2141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</row>
    <row r="3">
      <c r="A3" t="inlineStr">
        <is>
          <t>1873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</row>
    <row r="4">
      <c r="A4" t="inlineStr">
        <is>
          <t>1886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</row>
    <row r="5">
      <c r="A5" t="inlineStr">
        <is>
          <t>1938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</row>
    <row r="6">
      <c r="A6" t="inlineStr">
        <is>
          <t>1874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</row>
    <row r="7">
      <c r="A7" t="inlineStr">
        <is>
          <t>1875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FALSE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</row>
    <row r="8">
      <c r="A8" t="inlineStr">
        <is>
          <t>1878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</row>
    <row r="9">
      <c r="A9" t="inlineStr">
        <is>
          <t>1879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TRUE</t>
        </is>
      </c>
      <c r="P9" t="inlineStr">
        <is>
          <t>TRUE</t>
        </is>
      </c>
    </row>
    <row r="10">
      <c r="A10" t="inlineStr">
        <is>
          <t>2238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</row>
    <row r="11">
      <c r="A11" t="inlineStr">
        <is>
          <t>1884</t>
        </is>
      </c>
      <c r="B11" t="inlineStr">
        <is>
          <t>TRUE</t>
        </is>
      </c>
      <c r="C11" t="inlineStr">
        <is>
          <t>FALSE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</row>
    <row r="12">
      <c r="A12" t="inlineStr">
        <is>
          <t>1197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</row>
    <row r="13">
      <c r="A13" t="inlineStr">
        <is>
          <t>1882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</row>
    <row r="14">
      <c r="A14" t="inlineStr">
        <is>
          <t>1937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</row>
    <row r="15">
      <c r="A15" t="inlineStr">
        <is>
          <t>1898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</row>
    <row r="16">
      <c r="A16" t="inlineStr">
        <is>
          <t>1198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