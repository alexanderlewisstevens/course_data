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Faculty Preferences" sheetId="2" state="visible" r:id="rId2"/>
    <sheet name="User Edits" sheetId="3" state="visible" r:id="rId3"/>
    <sheet name="Time Confl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202450</t>
        </is>
      </c>
      <c r="B2" t="inlineStr">
        <is>
          <t>2070</t>
        </is>
      </c>
      <c r="C2" t="inlineStr">
        <is>
          <t>COMP 3006</t>
        </is>
      </c>
      <c r="D2" t="inlineStr">
        <is>
          <t>101</t>
        </is>
      </c>
      <c r="E2" t="inlineStr">
        <is>
          <t>Python Software Development</t>
        </is>
      </c>
      <c r="F2" t="inlineStr">
        <is>
          <t>Online/Distance</t>
        </is>
      </c>
      <c r="G2" t="inlineStr">
        <is>
          <t>15-JUN-2024 to 23-AUG-2024</t>
        </is>
      </c>
      <c r="H2" t="inlineStr">
        <is>
          <t>7:00PM-8:50PM</t>
        </is>
      </c>
      <c r="I2" t="inlineStr">
        <is>
          <t>R</t>
        </is>
      </c>
      <c r="J2" t="inlineStr">
        <is>
          <t>4</t>
        </is>
      </c>
      <c r="K2" t="inlineStr"/>
      <c r="L2" t="inlineStr">
        <is>
          <t>Crutchfield-Todd, Dalton J.</t>
        </is>
      </c>
      <c r="M2" t="n">
        <v>20</v>
      </c>
      <c r="N2" t="n">
        <v>7</v>
      </c>
      <c r="O2" t="n">
        <v>0</v>
      </c>
      <c r="P2" t="n">
        <v>7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202450</t>
        </is>
      </c>
      <c r="B3" t="inlineStr">
        <is>
          <t>2071</t>
        </is>
      </c>
      <c r="C3" t="inlineStr">
        <is>
          <t>COMP 3008</t>
        </is>
      </c>
      <c r="D3" t="inlineStr">
        <is>
          <t>101</t>
        </is>
      </c>
      <c r="E3" t="inlineStr">
        <is>
          <t>Foundations: DS Math II</t>
        </is>
      </c>
      <c r="F3" t="inlineStr">
        <is>
          <t>Online/Distance</t>
        </is>
      </c>
      <c r="G3" t="inlineStr">
        <is>
          <t>15-JUN-2024 to 23-AUG-2024</t>
        </is>
      </c>
      <c r="H3" t="inlineStr">
        <is>
          <t>7:00PM-8:50PM</t>
        </is>
      </c>
      <c r="I3" t="inlineStr">
        <is>
          <t>T</t>
        </is>
      </c>
      <c r="J3" t="inlineStr">
        <is>
          <t>4</t>
        </is>
      </c>
      <c r="K3" t="inlineStr"/>
      <c r="L3" t="inlineStr">
        <is>
          <t>Gerics, Brendt</t>
        </is>
      </c>
      <c r="M3" t="n">
        <v>20</v>
      </c>
      <c r="N3" t="n">
        <v>4</v>
      </c>
      <c r="O3" t="n">
        <v>0</v>
      </c>
      <c r="P3" t="n">
        <v>4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202450</t>
        </is>
      </c>
      <c r="B4" t="inlineStr">
        <is>
          <t>2072</t>
        </is>
      </c>
      <c r="C4" t="inlineStr">
        <is>
          <t>COMP 3421</t>
        </is>
      </c>
      <c r="D4" t="inlineStr">
        <is>
          <t>101</t>
        </is>
      </c>
      <c r="E4" t="inlineStr">
        <is>
          <t>Database Organization &amp; Mgmt I</t>
        </is>
      </c>
      <c r="F4" t="inlineStr">
        <is>
          <t>Online/Distance</t>
        </is>
      </c>
      <c r="G4" t="inlineStr">
        <is>
          <t>15-JUN-2024 to 23-AUG-2024</t>
        </is>
      </c>
      <c r="H4" t="inlineStr">
        <is>
          <t>5:00PM-6:50PM</t>
        </is>
      </c>
      <c r="I4" t="inlineStr">
        <is>
          <t>R</t>
        </is>
      </c>
      <c r="J4" t="inlineStr">
        <is>
          <t>4</t>
        </is>
      </c>
      <c r="K4" t="inlineStr"/>
      <c r="L4" t="inlineStr">
        <is>
          <t>Mashinchi, Navid</t>
        </is>
      </c>
      <c r="M4" t="n">
        <v>20</v>
      </c>
      <c r="N4" t="n">
        <v>7</v>
      </c>
      <c r="O4" t="n">
        <v>0</v>
      </c>
      <c r="P4" t="n">
        <v>7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202450</t>
        </is>
      </c>
      <c r="B5" t="inlineStr">
        <is>
          <t>2090</t>
        </is>
      </c>
      <c r="C5" t="inlineStr">
        <is>
          <t>COMP 3432</t>
        </is>
      </c>
      <c r="D5" t="inlineStr">
        <is>
          <t>1</t>
        </is>
      </c>
      <c r="E5" t="inlineStr">
        <is>
          <t>Machine Learning</t>
        </is>
      </c>
      <c r="F5" t="inlineStr">
        <is>
          <t>Lecture</t>
        </is>
      </c>
      <c r="G5" t="inlineStr">
        <is>
          <t>24-JUN-2024 to 23-AUG-2024</t>
        </is>
      </c>
      <c r="H5" t="inlineStr">
        <is>
          <t>5:00PM-6:50PM</t>
        </is>
      </c>
      <c r="I5" t="inlineStr">
        <is>
          <t>T,R</t>
        </is>
      </c>
      <c r="J5" t="inlineStr">
        <is>
          <t>4</t>
        </is>
      </c>
      <c r="K5" t="inlineStr">
        <is>
          <t>ECS 300</t>
        </is>
      </c>
      <c r="L5" t="inlineStr">
        <is>
          <t>Conway, Maxwell L.</t>
        </is>
      </c>
      <c r="M5" t="n">
        <v>20</v>
      </c>
      <c r="N5" t="n">
        <v>6</v>
      </c>
      <c r="O5" t="n">
        <v>0</v>
      </c>
      <c r="P5" t="n">
        <v>6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202450</t>
        </is>
      </c>
      <c r="B6" t="inlineStr">
        <is>
          <t>2292</t>
        </is>
      </c>
      <c r="C6" t="inlineStr">
        <is>
          <t>COMP 3704</t>
        </is>
      </c>
      <c r="D6" t="inlineStr">
        <is>
          <t>0</t>
        </is>
      </c>
      <c r="E6" t="inlineStr">
        <is>
          <t>Advanced Topics: Systems</t>
        </is>
      </c>
      <c r="F6" t="inlineStr">
        <is>
          <t>Lecture</t>
        </is>
      </c>
      <c r="G6" t="inlineStr">
        <is>
          <t>24-JUN-2024 to 23-AUG-2024</t>
        </is>
      </c>
      <c r="H6" t="inlineStr">
        <is>
          <t>5:00PM-6:50PM</t>
        </is>
      </c>
      <c r="I6" t="inlineStr">
        <is>
          <t>T,R</t>
        </is>
      </c>
      <c r="J6" t="inlineStr">
        <is>
          <t>4</t>
        </is>
      </c>
      <c r="K6" t="inlineStr">
        <is>
          <t>ECS 301</t>
        </is>
      </c>
      <c r="L6" t="inlineStr">
        <is>
          <t>Hannum, Andrew T.</t>
        </is>
      </c>
      <c r="M6" t="n">
        <v>15</v>
      </c>
      <c r="N6" t="n">
        <v>0</v>
      </c>
      <c r="O6" t="n">
        <v>23</v>
      </c>
      <c r="P6" t="n">
        <v>23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202450</t>
        </is>
      </c>
      <c r="B7" t="inlineStr">
        <is>
          <t>2073</t>
        </is>
      </c>
      <c r="C7" t="inlineStr">
        <is>
          <t>COMP 4334</t>
        </is>
      </c>
      <c r="D7" t="inlineStr">
        <is>
          <t>101</t>
        </is>
      </c>
      <c r="E7" t="inlineStr">
        <is>
          <t>Parallel &amp; Distrib Comp for DS</t>
        </is>
      </c>
      <c r="F7" t="inlineStr">
        <is>
          <t>Online/Distance</t>
        </is>
      </c>
      <c r="G7" t="inlineStr">
        <is>
          <t>15-JUN-2024 to 23-AUG-2024</t>
        </is>
      </c>
      <c r="H7" t="inlineStr">
        <is>
          <t>7:00PM-8:50PM</t>
        </is>
      </c>
      <c r="I7" t="inlineStr">
        <is>
          <t>M</t>
        </is>
      </c>
      <c r="J7" t="inlineStr">
        <is>
          <t>4</t>
        </is>
      </c>
      <c r="K7" t="inlineStr"/>
      <c r="L7" t="inlineStr">
        <is>
          <t>Daskevich, Ronald J.</t>
        </is>
      </c>
      <c r="M7" t="n">
        <v>20</v>
      </c>
      <c r="N7" t="n">
        <v>5</v>
      </c>
      <c r="O7" t="n">
        <v>0</v>
      </c>
      <c r="P7" t="n">
        <v>5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202450</t>
        </is>
      </c>
      <c r="B8" t="inlineStr">
        <is>
          <t>2069</t>
        </is>
      </c>
      <c r="C8" t="inlineStr">
        <is>
          <t>COMP 4401</t>
        </is>
      </c>
      <c r="D8" t="inlineStr">
        <is>
          <t>1</t>
        </is>
      </c>
      <c r="E8" t="inlineStr">
        <is>
          <t>Python for Data Science</t>
        </is>
      </c>
      <c r="F8" t="inlineStr">
        <is>
          <t>Online/Distance</t>
        </is>
      </c>
      <c r="G8" t="inlineStr">
        <is>
          <t>24-JUN-2024 to 16-AUG-2024</t>
        </is>
      </c>
      <c r="H8" t="inlineStr">
        <is>
          <t>5:00PM-6:50PM</t>
        </is>
      </c>
      <c r="I8" t="inlineStr">
        <is>
          <t>R</t>
        </is>
      </c>
      <c r="J8" t="inlineStr">
        <is>
          <t>2</t>
        </is>
      </c>
      <c r="K8" t="inlineStr"/>
      <c r="L8" t="inlineStr">
        <is>
          <t>Kossek, Wojciech K.</t>
        </is>
      </c>
      <c r="M8" t="n">
        <v>20</v>
      </c>
      <c r="N8" t="n">
        <v>10</v>
      </c>
      <c r="O8" t="n">
        <v>0</v>
      </c>
      <c r="P8" t="n">
        <v>10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202450</t>
        </is>
      </c>
      <c r="B9" t="inlineStr">
        <is>
          <t>2074</t>
        </is>
      </c>
      <c r="C9" t="inlineStr">
        <is>
          <t>COMP 4432</t>
        </is>
      </c>
      <c r="D9" t="inlineStr">
        <is>
          <t>101</t>
        </is>
      </c>
      <c r="E9" t="inlineStr">
        <is>
          <t>Machine Learning</t>
        </is>
      </c>
      <c r="F9" t="inlineStr">
        <is>
          <t>Online/Distance</t>
        </is>
      </c>
      <c r="G9" t="inlineStr">
        <is>
          <t>15-JUN-2024 to 23-AUG-2024</t>
        </is>
      </c>
      <c r="H9" t="inlineStr">
        <is>
          <t>7:00PM-8:50PM</t>
        </is>
      </c>
      <c r="I9" t="inlineStr">
        <is>
          <t>W</t>
        </is>
      </c>
      <c r="J9" t="inlineStr">
        <is>
          <t>4</t>
        </is>
      </c>
      <c r="K9" t="inlineStr"/>
      <c r="L9" t="inlineStr">
        <is>
          <t>Sawle, Paul L.</t>
        </is>
      </c>
      <c r="M9" t="n">
        <v>20</v>
      </c>
      <c r="N9" t="n">
        <v>10</v>
      </c>
      <c r="O9" t="n">
        <v>0</v>
      </c>
      <c r="P9" t="n">
        <v>10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202450</t>
        </is>
      </c>
      <c r="B10" t="inlineStr">
        <is>
          <t>2075</t>
        </is>
      </c>
      <c r="C10" t="inlineStr">
        <is>
          <t>COMP 4433</t>
        </is>
      </c>
      <c r="D10" t="inlineStr">
        <is>
          <t>101</t>
        </is>
      </c>
      <c r="E10" t="inlineStr">
        <is>
          <t>Data Visualization</t>
        </is>
      </c>
      <c r="F10" t="inlineStr">
        <is>
          <t>Online/Distance</t>
        </is>
      </c>
      <c r="G10" t="inlineStr">
        <is>
          <t>15-JUN-2024 to 23-AUG-2024</t>
        </is>
      </c>
      <c r="H10" t="inlineStr">
        <is>
          <t>7:00PM-8:50PM</t>
        </is>
      </c>
      <c r="I10" t="inlineStr">
        <is>
          <t>R</t>
        </is>
      </c>
      <c r="J10" t="inlineStr">
        <is>
          <t>4</t>
        </is>
      </c>
      <c r="K10" t="inlineStr"/>
      <c r="L10" t="inlineStr">
        <is>
          <t>Siebrase, Benjamin E.</t>
        </is>
      </c>
      <c r="M10" t="n">
        <v>20</v>
      </c>
      <c r="N10" t="n">
        <v>15</v>
      </c>
      <c r="O10" t="n">
        <v>0</v>
      </c>
      <c r="P10" t="n">
        <v>15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202450</t>
        </is>
      </c>
      <c r="B11" t="inlineStr">
        <is>
          <t>2076</t>
        </is>
      </c>
      <c r="C11" t="inlineStr">
        <is>
          <t>COMP 4441</t>
        </is>
      </c>
      <c r="D11" t="inlineStr">
        <is>
          <t>101</t>
        </is>
      </c>
      <c r="E11" t="inlineStr">
        <is>
          <t>Probability and Statistics 1</t>
        </is>
      </c>
      <c r="F11" t="inlineStr">
        <is>
          <t>Online/Distance</t>
        </is>
      </c>
      <c r="G11" t="inlineStr">
        <is>
          <t>15-JUN-2024 to 23-AUG-2024</t>
        </is>
      </c>
      <c r="H11" t="inlineStr">
        <is>
          <t>7:00PM-8:50PM</t>
        </is>
      </c>
      <c r="I11" t="inlineStr">
        <is>
          <t>W</t>
        </is>
      </c>
      <c r="J11" t="inlineStr">
        <is>
          <t>4</t>
        </is>
      </c>
      <c r="K11" t="inlineStr"/>
      <c r="L11" t="inlineStr">
        <is>
          <t>Vered, Michelle N.</t>
        </is>
      </c>
      <c r="M11" t="n">
        <v>20</v>
      </c>
      <c r="N11" t="n">
        <v>8</v>
      </c>
      <c r="O11" t="n">
        <v>0</v>
      </c>
      <c r="P11" t="n">
        <v>8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202450</t>
        </is>
      </c>
      <c r="B12" t="inlineStr">
        <is>
          <t>2077</t>
        </is>
      </c>
      <c r="C12" t="inlineStr">
        <is>
          <t>COMP 4442</t>
        </is>
      </c>
      <c r="D12" t="inlineStr">
        <is>
          <t>101</t>
        </is>
      </c>
      <c r="E12" t="inlineStr">
        <is>
          <t>Probability and Statistics 2</t>
        </is>
      </c>
      <c r="F12" t="inlineStr">
        <is>
          <t>Online/Distance</t>
        </is>
      </c>
      <c r="G12" t="inlineStr">
        <is>
          <t>15-JUN-2024 to 23-AUG-2024</t>
        </is>
      </c>
      <c r="H12" t="inlineStr">
        <is>
          <t>5:00PM-6:50PM</t>
        </is>
      </c>
      <c r="I12" t="inlineStr">
        <is>
          <t>W</t>
        </is>
      </c>
      <c r="J12" t="inlineStr">
        <is>
          <t>4</t>
        </is>
      </c>
      <c r="K12" t="inlineStr"/>
      <c r="L12" t="inlineStr">
        <is>
          <t>Chan, Julian D.</t>
        </is>
      </c>
      <c r="M12" t="n">
        <v>20</v>
      </c>
      <c r="N12" t="n">
        <v>6</v>
      </c>
      <c r="O12" t="n">
        <v>0</v>
      </c>
      <c r="P12" t="n">
        <v>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202450</t>
        </is>
      </c>
      <c r="B13" t="inlineStr">
        <is>
          <t>2079</t>
        </is>
      </c>
      <c r="C13" t="inlineStr">
        <is>
          <t>COMP 4447</t>
        </is>
      </c>
      <c r="D13" t="inlineStr">
        <is>
          <t>1</t>
        </is>
      </c>
      <c r="E13" t="inlineStr">
        <is>
          <t>Data Science Tools 1</t>
        </is>
      </c>
      <c r="F13" t="inlineStr">
        <is>
          <t>Lecture</t>
        </is>
      </c>
      <c r="G13" t="inlineStr">
        <is>
          <t>15-JUN-2024 to 23-AUG-2024</t>
        </is>
      </c>
      <c r="H13" t="inlineStr">
        <is>
          <t>7:00PM-8:50PM</t>
        </is>
      </c>
      <c r="I13" t="inlineStr">
        <is>
          <t>T,R</t>
        </is>
      </c>
      <c r="J13" t="inlineStr">
        <is>
          <t>4</t>
        </is>
      </c>
      <c r="K13" t="inlineStr">
        <is>
          <t>ECS 400</t>
        </is>
      </c>
      <c r="L13" t="inlineStr">
        <is>
          <t>Dalton, Donald A.</t>
        </is>
      </c>
      <c r="M13" t="n">
        <v>20</v>
      </c>
      <c r="N13" t="n">
        <v>12</v>
      </c>
      <c r="O13" t="n">
        <v>0</v>
      </c>
      <c r="P13" t="n">
        <v>12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202450</t>
        </is>
      </c>
      <c r="B14" t="inlineStr">
        <is>
          <t>2078</t>
        </is>
      </c>
      <c r="C14" t="inlineStr">
        <is>
          <t>COMP 4447</t>
        </is>
      </c>
      <c r="D14" t="inlineStr">
        <is>
          <t>101</t>
        </is>
      </c>
      <c r="E14" t="inlineStr">
        <is>
          <t>Data Science Tools 1</t>
        </is>
      </c>
      <c r="F14" t="inlineStr">
        <is>
          <t>Online/Distance</t>
        </is>
      </c>
      <c r="G14" t="inlineStr">
        <is>
          <t>15-JUN-2024 to 23-AUG-2024</t>
        </is>
      </c>
      <c r="H14" t="inlineStr">
        <is>
          <t>7:00PM-8:50PM</t>
        </is>
      </c>
      <c r="I14" t="inlineStr">
        <is>
          <t>M</t>
        </is>
      </c>
      <c r="J14" t="inlineStr">
        <is>
          <t>4</t>
        </is>
      </c>
      <c r="K14" t="inlineStr"/>
      <c r="L14" t="inlineStr">
        <is>
          <t>Rasool, Rahim</t>
        </is>
      </c>
      <c r="M14" t="n">
        <v>20</v>
      </c>
      <c r="N14" t="n">
        <v>7</v>
      </c>
      <c r="O14" t="n">
        <v>0</v>
      </c>
      <c r="P14" t="n">
        <v>7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202450</t>
        </is>
      </c>
      <c r="B15" t="inlineStr">
        <is>
          <t>2080</t>
        </is>
      </c>
      <c r="C15" t="inlineStr">
        <is>
          <t>COMP 4448</t>
        </is>
      </c>
      <c r="D15" t="inlineStr">
        <is>
          <t>101</t>
        </is>
      </c>
      <c r="E15" t="inlineStr">
        <is>
          <t>Data Science Tools 2</t>
        </is>
      </c>
      <c r="F15" t="inlineStr">
        <is>
          <t>Online/Distance</t>
        </is>
      </c>
      <c r="G15" t="inlineStr">
        <is>
          <t>15-JUN-2024 to 23-AUG-2024</t>
        </is>
      </c>
      <c r="H15" t="inlineStr">
        <is>
          <t>5:00PM-6:50PM</t>
        </is>
      </c>
      <c r="I15" t="inlineStr">
        <is>
          <t>M</t>
        </is>
      </c>
      <c r="J15" t="inlineStr">
        <is>
          <t>4</t>
        </is>
      </c>
      <c r="K15" t="inlineStr"/>
      <c r="L15" t="inlineStr">
        <is>
          <t>Parada San Martin, Daniel A.</t>
        </is>
      </c>
      <c r="M15" t="n">
        <v>20</v>
      </c>
      <c r="N15" t="n">
        <v>3</v>
      </c>
      <c r="O15" t="n">
        <v>0</v>
      </c>
      <c r="P15" t="n">
        <v>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202450</t>
        </is>
      </c>
      <c r="B16" t="inlineStr">
        <is>
          <t>2081</t>
        </is>
      </c>
      <c r="C16" t="inlineStr">
        <is>
          <t>COMP 4449</t>
        </is>
      </c>
      <c r="D16" t="inlineStr">
        <is>
          <t>101</t>
        </is>
      </c>
      <c r="E16" t="inlineStr">
        <is>
          <t>Data Science Capstone</t>
        </is>
      </c>
      <c r="F16" t="inlineStr">
        <is>
          <t>Online/Distance</t>
        </is>
      </c>
      <c r="G16" t="inlineStr">
        <is>
          <t>15-JUN-2024 to 23-AUG-2024</t>
        </is>
      </c>
      <c r="H16" t="inlineStr">
        <is>
          <t>5:00PM-6:50PM</t>
        </is>
      </c>
      <c r="I16" t="inlineStr">
        <is>
          <t>T</t>
        </is>
      </c>
      <c r="J16" t="inlineStr">
        <is>
          <t>4</t>
        </is>
      </c>
      <c r="K16" t="inlineStr"/>
      <c r="L16" t="inlineStr">
        <is>
          <t>Sawle, Paul L.</t>
        </is>
      </c>
      <c r="M16" t="n">
        <v>20</v>
      </c>
      <c r="N16" t="n">
        <v>9</v>
      </c>
      <c r="O16" t="n">
        <v>0</v>
      </c>
      <c r="P16" t="n">
        <v>9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202450</t>
        </is>
      </c>
      <c r="B17" t="inlineStr">
        <is>
          <t>2088</t>
        </is>
      </c>
      <c r="C17" t="inlineStr">
        <is>
          <t>COMP 4455</t>
        </is>
      </c>
      <c r="D17" t="inlineStr">
        <is>
          <t>1</t>
        </is>
      </c>
      <c r="E17" t="inlineStr">
        <is>
          <t>Shell Scripting &amp; Sys Tools</t>
        </is>
      </c>
      <c r="F17" t="inlineStr">
        <is>
          <t>Lecture/Lab</t>
        </is>
      </c>
      <c r="G17" t="inlineStr">
        <is>
          <t>24-JUN-2024 to 23-AUG-2024</t>
        </is>
      </c>
      <c r="H17" t="inlineStr">
        <is>
          <t>7:00PM-8:50PM</t>
        </is>
      </c>
      <c r="I17" t="inlineStr">
        <is>
          <t>T,R</t>
        </is>
      </c>
      <c r="J17" t="inlineStr">
        <is>
          <t>4</t>
        </is>
      </c>
      <c r="K17" t="inlineStr">
        <is>
          <t>ECS 401</t>
        </is>
      </c>
      <c r="L17" t="inlineStr">
        <is>
          <t>Evans, Nathan S.</t>
        </is>
      </c>
      <c r="M17" t="n">
        <v>20</v>
      </c>
      <c r="N17" t="n">
        <v>19</v>
      </c>
      <c r="O17" t="n">
        <v>0</v>
      </c>
      <c r="P17" t="n">
        <v>19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202450</t>
        </is>
      </c>
      <c r="B18" t="inlineStr">
        <is>
          <t>2083</t>
        </is>
      </c>
      <c r="C18" t="inlineStr">
        <is>
          <t>COMP 4531</t>
        </is>
      </c>
      <c r="D18" t="inlineStr">
        <is>
          <t>101</t>
        </is>
      </c>
      <c r="E18" t="inlineStr">
        <is>
          <t>Deep Learning</t>
        </is>
      </c>
      <c r="F18" t="inlineStr">
        <is>
          <t>Online/Distance</t>
        </is>
      </c>
      <c r="G18" t="inlineStr">
        <is>
          <t>15-JUN-2024 to 23-AUG-2024</t>
        </is>
      </c>
      <c r="H18" t="inlineStr">
        <is>
          <t>5:00PM-6:50PM</t>
        </is>
      </c>
      <c r="I18" t="inlineStr">
        <is>
          <t>W</t>
        </is>
      </c>
      <c r="J18" t="inlineStr">
        <is>
          <t>4</t>
        </is>
      </c>
      <c r="K18" t="inlineStr"/>
      <c r="L18" t="inlineStr">
        <is>
          <t>Dalton, Donald A.</t>
        </is>
      </c>
      <c r="M18" t="n">
        <v>20</v>
      </c>
      <c r="N18" t="n">
        <v>20</v>
      </c>
      <c r="O18" t="n">
        <v>0</v>
      </c>
      <c r="P18" t="n">
        <v>20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202450</t>
        </is>
      </c>
      <c r="B19" t="inlineStr">
        <is>
          <t>2082</t>
        </is>
      </c>
      <c r="C19" t="inlineStr">
        <is>
          <t>COMP 4581</t>
        </is>
      </c>
      <c r="D19" t="inlineStr">
        <is>
          <t>101</t>
        </is>
      </c>
      <c r="E19" t="inlineStr">
        <is>
          <t>Algorithms for Data Science&amp;AI</t>
        </is>
      </c>
      <c r="F19" t="inlineStr">
        <is>
          <t>Online/Distance</t>
        </is>
      </c>
      <c r="G19" t="inlineStr">
        <is>
          <t>15-JUN-2024 to 23-AUG-2024</t>
        </is>
      </c>
      <c r="H19" t="inlineStr">
        <is>
          <t>5:00PM-6:50PM</t>
        </is>
      </c>
      <c r="I19" t="inlineStr">
        <is>
          <t>T</t>
        </is>
      </c>
      <c r="J19" t="inlineStr">
        <is>
          <t>4</t>
        </is>
      </c>
      <c r="K19" t="inlineStr"/>
      <c r="L19" t="inlineStr">
        <is>
          <t>Kossek, Wojciech K.</t>
        </is>
      </c>
      <c r="M19" t="n">
        <v>20</v>
      </c>
      <c r="N19" t="n">
        <v>16</v>
      </c>
      <c r="O19" t="n">
        <v>0</v>
      </c>
      <c r="P19" t="n">
        <v>16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202450</t>
        </is>
      </c>
      <c r="B20" t="inlineStr">
        <is>
          <t>2233</t>
        </is>
      </c>
      <c r="C20" t="inlineStr">
        <is>
          <t>COMP 4704</t>
        </is>
      </c>
      <c r="D20" t="inlineStr">
        <is>
          <t>1</t>
        </is>
      </c>
      <c r="E20" t="inlineStr">
        <is>
          <t>Advanced Topics-Systems</t>
        </is>
      </c>
      <c r="F20" t="inlineStr">
        <is>
          <t>Lecture</t>
        </is>
      </c>
      <c r="G20" t="inlineStr">
        <is>
          <t>24-JUN-2024 to 23-AUG-2024</t>
        </is>
      </c>
      <c r="H20" t="inlineStr">
        <is>
          <t>5:00PM-6:50PM</t>
        </is>
      </c>
      <c r="I20" t="inlineStr">
        <is>
          <t>T,R</t>
        </is>
      </c>
      <c r="J20" t="inlineStr">
        <is>
          <t>4</t>
        </is>
      </c>
      <c r="K20" t="inlineStr">
        <is>
          <t>ECS 301</t>
        </is>
      </c>
      <c r="L20" t="inlineStr">
        <is>
          <t>Hannum, Andrew T.</t>
        </is>
      </c>
      <c r="M20" t="n">
        <v>25</v>
      </c>
      <c r="N20" t="n">
        <v>23</v>
      </c>
      <c r="O20" t="n">
        <v>0</v>
      </c>
      <c r="P20" t="n">
        <v>23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202450</t>
        </is>
      </c>
      <c r="B21" t="inlineStr">
        <is>
          <t>2185</t>
        </is>
      </c>
      <c r="C21" t="inlineStr">
        <is>
          <t>COMP 4799</t>
        </is>
      </c>
      <c r="D21" t="inlineStr">
        <is>
          <t>1</t>
        </is>
      </c>
      <c r="E21" t="inlineStr">
        <is>
          <t>Cybersecurity Capstone</t>
        </is>
      </c>
      <c r="F21" t="inlineStr">
        <is>
          <t>Lecture/Lab</t>
        </is>
      </c>
      <c r="G21" t="inlineStr">
        <is>
          <t>24-JUN-2024 to 23-AUG-2024</t>
        </is>
      </c>
      <c r="H21" t="inlineStr"/>
      <c r="I21" t="inlineStr"/>
      <c r="J21" t="inlineStr">
        <is>
          <t>1</t>
        </is>
      </c>
      <c r="K21" t="inlineStr"/>
      <c r="L21" t="inlineStr">
        <is>
          <t>Evans, Nathan S.</t>
        </is>
      </c>
      <c r="M21" t="n">
        <v>8</v>
      </c>
      <c r="N21" t="n">
        <v>18</v>
      </c>
      <c r="O21" t="n">
        <v>0</v>
      </c>
      <c r="P21" t="n">
        <v>18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Ericka Corral Yanez</t>
        </is>
      </c>
      <c r="B1" t="inlineStr">
        <is>
          <t>Sunny Shrestha</t>
        </is>
      </c>
      <c r="C1" t="inlineStr">
        <is>
          <t>Faiza Tazi</t>
        </is>
      </c>
      <c r="D1" t="inlineStr">
        <is>
          <t>Suleiman Saka</t>
        </is>
      </c>
      <c r="E1" t="inlineStr">
        <is>
          <t>Juan Malaver Alvarado</t>
        </is>
      </c>
      <c r="F1" t="inlineStr">
        <is>
          <t>Sean Perman</t>
        </is>
      </c>
      <c r="G1" t="inlineStr">
        <is>
          <t>Galen Metzger</t>
        </is>
      </c>
      <c r="H1" t="inlineStr">
        <is>
          <t>Elijah Alabi</t>
        </is>
      </c>
      <c r="I1" t="inlineStr">
        <is>
          <t>Elizabeth Cockerell</t>
        </is>
      </c>
      <c r="J1" t="inlineStr">
        <is>
          <t>Sherif Bakr</t>
        </is>
      </c>
      <c r="K1" t="inlineStr">
        <is>
          <t>Kristian Moen</t>
        </is>
      </c>
      <c r="L1" t="inlineStr">
        <is>
          <t>Demi Jaiyeola</t>
        </is>
      </c>
      <c r="M1" t="inlineStr">
        <is>
          <t>Lombe Chileshe</t>
        </is>
      </c>
      <c r="N1" t="inlineStr">
        <is>
          <t>Jordan Sinclair</t>
        </is>
      </c>
      <c r="O1" t="inlineStr">
        <is>
          <t>Yousra Shleibik</t>
        </is>
      </c>
      <c r="P1" t="inlineStr">
        <is>
          <t>Jay Sharma</t>
        </is>
      </c>
      <c r="Q1" t="inlineStr">
        <is>
          <t>Yulia Kim</t>
        </is>
      </c>
      <c r="R1" t="inlineStr">
        <is>
          <t>Bryson Timper</t>
        </is>
      </c>
      <c r="S1" t="inlineStr">
        <is>
          <t>Theo Canji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>
        <f>XLOOKUP($B2,'GTA Eligible'!$B$2:$B$21,'GTA Eligible'!$A$2:$A$21,"")</f>
        <v/>
      </c>
      <c r="B2" t="inlineStr">
        <is>
          <t>2070</t>
        </is>
      </c>
      <c r="C2">
        <f>XLOOKUP($B2,'GTA Eligible'!$B$2:$B$21,'GTA Eligible'!$C$2:$C$21,"")</f>
        <v/>
      </c>
      <c r="D2">
        <f>XLOOKUP($B2,'GTA Eligible'!$B$2:$B$21,'GTA Eligible'!$D$2:$D$21,"")</f>
        <v/>
      </c>
      <c r="E2">
        <f>XLOOKUP($B2,'GTA Eligible'!$B$2:$B$21,'GTA Eligible'!$E$2:$E$21,"")</f>
        <v/>
      </c>
      <c r="F2">
        <f>XLOOKUP($B2,'GTA Eligible'!$B$2:$B$21,'GTA Eligible'!$F$2:$F$21,"")</f>
        <v/>
      </c>
      <c r="G2">
        <f>XLOOKUP($B2,'GTA Eligible'!$B$2:$B$21,'GTA Eligible'!$G$2:$G$21,"")</f>
        <v/>
      </c>
      <c r="H2">
        <f>XLOOKUP($B2,'GTA Eligible'!$B$2:$B$21,'GTA Eligible'!$H$2:$H$21,"")</f>
        <v/>
      </c>
      <c r="I2">
        <f>XLOOKUP($B2,'GTA Eligible'!$B$2:$B$21,'GTA Eligible'!$I$2:$I$21,"")</f>
        <v/>
      </c>
      <c r="J2">
        <f>XLOOKUP($B2,'GTA Eligible'!$B$2:$B$21,'GTA Eligible'!$J$2:$J$21,"")</f>
        <v/>
      </c>
      <c r="K2">
        <f>XLOOKUP($B2,'GTA Eligible'!$B$2:$B$21,'GTA Eligible'!$K$2:$K$21,"")</f>
        <v/>
      </c>
      <c r="L2">
        <f>XLOOKUP($B2,'GTA Eligible'!$B$2:$B$21,'GTA Eligible'!$L$2:$L$21,"")</f>
        <v/>
      </c>
      <c r="M2">
        <f>XLOOKUP($B2,'GTA Eligible'!$B$2:$B$21,'GTA Eligible'!$M$2:$M$21,"")</f>
        <v/>
      </c>
      <c r="N2">
        <f>XLOOKUP($B2,'GTA Eligible'!$B$2:$B$21,'GTA Eligible'!$N$2:$N$21,"")</f>
        <v/>
      </c>
      <c r="O2">
        <f>XLOOKUP($B2,'GTA Eligible'!$B$2:$B$21,'GTA Eligible'!$O$2:$O$21,"")</f>
        <v/>
      </c>
      <c r="P2">
        <f>XLOOKUP($B2,'GTA Eligible'!$B$2:$B$21,'GTA Eligible'!$P$2:$P$21,"")</f>
        <v/>
      </c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>
        <f>XLOOKUP($B3,'GTA Eligible'!$B$2:$B$21,'GTA Eligible'!$A$2:$A$21,"")</f>
        <v/>
      </c>
      <c r="B3" t="inlineStr">
        <is>
          <t>2071</t>
        </is>
      </c>
      <c r="C3">
        <f>XLOOKUP($B3,'GTA Eligible'!$B$2:$B$21,'GTA Eligible'!$C$2:$C$21,"")</f>
        <v/>
      </c>
      <c r="D3">
        <f>XLOOKUP($B3,'GTA Eligible'!$B$2:$B$21,'GTA Eligible'!$D$2:$D$21,"")</f>
        <v/>
      </c>
      <c r="E3">
        <f>XLOOKUP($B3,'GTA Eligible'!$B$2:$B$21,'GTA Eligible'!$E$2:$E$21,"")</f>
        <v/>
      </c>
      <c r="F3">
        <f>XLOOKUP($B3,'GTA Eligible'!$B$2:$B$21,'GTA Eligible'!$F$2:$F$21,"")</f>
        <v/>
      </c>
      <c r="G3">
        <f>XLOOKUP($B3,'GTA Eligible'!$B$2:$B$21,'GTA Eligible'!$G$2:$G$21,"")</f>
        <v/>
      </c>
      <c r="H3">
        <f>XLOOKUP($B3,'GTA Eligible'!$B$2:$B$21,'GTA Eligible'!$H$2:$H$21,"")</f>
        <v/>
      </c>
      <c r="I3">
        <f>XLOOKUP($B3,'GTA Eligible'!$B$2:$B$21,'GTA Eligible'!$I$2:$I$21,"")</f>
        <v/>
      </c>
      <c r="J3">
        <f>XLOOKUP($B3,'GTA Eligible'!$B$2:$B$21,'GTA Eligible'!$J$2:$J$21,"")</f>
        <v/>
      </c>
      <c r="K3">
        <f>XLOOKUP($B3,'GTA Eligible'!$B$2:$B$21,'GTA Eligible'!$K$2:$K$21,"")</f>
        <v/>
      </c>
      <c r="L3">
        <f>XLOOKUP($B3,'GTA Eligible'!$B$2:$B$21,'GTA Eligible'!$L$2:$L$21,"")</f>
        <v/>
      </c>
      <c r="M3">
        <f>XLOOKUP($B3,'GTA Eligible'!$B$2:$B$21,'GTA Eligible'!$M$2:$M$21,"")</f>
        <v/>
      </c>
      <c r="N3">
        <f>XLOOKUP($B3,'GTA Eligible'!$B$2:$B$21,'GTA Eligible'!$N$2:$N$21,"")</f>
        <v/>
      </c>
      <c r="O3">
        <f>XLOOKUP($B3,'GTA Eligible'!$B$2:$B$21,'GTA Eligible'!$O$2:$O$21,"")</f>
        <v/>
      </c>
      <c r="P3">
        <f>XLOOKUP($B3,'GTA Eligible'!$B$2:$B$21,'GTA Eligible'!$P$2:$P$21,"")</f>
        <v/>
      </c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>
        <f>XLOOKUP($B4,'GTA Eligible'!$B$2:$B$21,'GTA Eligible'!$A$2:$A$21,"")</f>
        <v/>
      </c>
      <c r="B4" t="inlineStr">
        <is>
          <t>2072</t>
        </is>
      </c>
      <c r="C4">
        <f>XLOOKUP($B4,'GTA Eligible'!$B$2:$B$21,'GTA Eligible'!$C$2:$C$21,"")</f>
        <v/>
      </c>
      <c r="D4">
        <f>XLOOKUP($B4,'GTA Eligible'!$B$2:$B$21,'GTA Eligible'!$D$2:$D$21,"")</f>
        <v/>
      </c>
      <c r="E4">
        <f>XLOOKUP($B4,'GTA Eligible'!$B$2:$B$21,'GTA Eligible'!$E$2:$E$21,"")</f>
        <v/>
      </c>
      <c r="F4">
        <f>XLOOKUP($B4,'GTA Eligible'!$B$2:$B$21,'GTA Eligible'!$F$2:$F$21,"")</f>
        <v/>
      </c>
      <c r="G4">
        <f>XLOOKUP($B4,'GTA Eligible'!$B$2:$B$21,'GTA Eligible'!$G$2:$G$21,"")</f>
        <v/>
      </c>
      <c r="H4">
        <f>XLOOKUP($B4,'GTA Eligible'!$B$2:$B$21,'GTA Eligible'!$H$2:$H$21,"")</f>
        <v/>
      </c>
      <c r="I4">
        <f>XLOOKUP($B4,'GTA Eligible'!$B$2:$B$21,'GTA Eligible'!$I$2:$I$21,"")</f>
        <v/>
      </c>
      <c r="J4">
        <f>XLOOKUP($B4,'GTA Eligible'!$B$2:$B$21,'GTA Eligible'!$J$2:$J$21,"")</f>
        <v/>
      </c>
      <c r="K4">
        <f>XLOOKUP($B4,'GTA Eligible'!$B$2:$B$21,'GTA Eligible'!$K$2:$K$21,"")</f>
        <v/>
      </c>
      <c r="L4">
        <f>XLOOKUP($B4,'GTA Eligible'!$B$2:$B$21,'GTA Eligible'!$L$2:$L$21,"")</f>
        <v/>
      </c>
      <c r="M4">
        <f>XLOOKUP($B4,'GTA Eligible'!$B$2:$B$21,'GTA Eligible'!$M$2:$M$21,"")</f>
        <v/>
      </c>
      <c r="N4">
        <f>XLOOKUP($B4,'GTA Eligible'!$B$2:$B$21,'GTA Eligible'!$N$2:$N$21,"")</f>
        <v/>
      </c>
      <c r="O4">
        <f>XLOOKUP($B4,'GTA Eligible'!$B$2:$B$21,'GTA Eligible'!$O$2:$O$21,"")</f>
        <v/>
      </c>
      <c r="P4">
        <f>XLOOKUP($B4,'GTA Eligible'!$B$2:$B$21,'GTA Eligible'!$P$2:$P$21,"")</f>
        <v/>
      </c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>
        <f>XLOOKUP($B5,'GTA Eligible'!$B$2:$B$21,'GTA Eligible'!$A$2:$A$21,"")</f>
        <v/>
      </c>
      <c r="B5" t="inlineStr">
        <is>
          <t>2090</t>
        </is>
      </c>
      <c r="C5">
        <f>XLOOKUP($B5,'GTA Eligible'!$B$2:$B$21,'GTA Eligible'!$C$2:$C$21,"")</f>
        <v/>
      </c>
      <c r="D5">
        <f>XLOOKUP($B5,'GTA Eligible'!$B$2:$B$21,'GTA Eligible'!$D$2:$D$21,"")</f>
        <v/>
      </c>
      <c r="E5">
        <f>XLOOKUP($B5,'GTA Eligible'!$B$2:$B$21,'GTA Eligible'!$E$2:$E$21,"")</f>
        <v/>
      </c>
      <c r="F5">
        <f>XLOOKUP($B5,'GTA Eligible'!$B$2:$B$21,'GTA Eligible'!$F$2:$F$21,"")</f>
        <v/>
      </c>
      <c r="G5">
        <f>XLOOKUP($B5,'GTA Eligible'!$B$2:$B$21,'GTA Eligible'!$G$2:$G$21,"")</f>
        <v/>
      </c>
      <c r="H5">
        <f>XLOOKUP($B5,'GTA Eligible'!$B$2:$B$21,'GTA Eligible'!$H$2:$H$21,"")</f>
        <v/>
      </c>
      <c r="I5">
        <f>XLOOKUP($B5,'GTA Eligible'!$B$2:$B$21,'GTA Eligible'!$I$2:$I$21,"")</f>
        <v/>
      </c>
      <c r="J5">
        <f>XLOOKUP($B5,'GTA Eligible'!$B$2:$B$21,'GTA Eligible'!$J$2:$J$21,"")</f>
        <v/>
      </c>
      <c r="K5">
        <f>XLOOKUP($B5,'GTA Eligible'!$B$2:$B$21,'GTA Eligible'!$K$2:$K$21,"")</f>
        <v/>
      </c>
      <c r="L5">
        <f>XLOOKUP($B5,'GTA Eligible'!$B$2:$B$21,'GTA Eligible'!$L$2:$L$21,"")</f>
        <v/>
      </c>
      <c r="M5">
        <f>XLOOKUP($B5,'GTA Eligible'!$B$2:$B$21,'GTA Eligible'!$M$2:$M$21,"")</f>
        <v/>
      </c>
      <c r="N5">
        <f>XLOOKUP($B5,'GTA Eligible'!$B$2:$B$21,'GTA Eligible'!$N$2:$N$21,"")</f>
        <v/>
      </c>
      <c r="O5">
        <f>XLOOKUP($B5,'GTA Eligible'!$B$2:$B$21,'GTA Eligible'!$O$2:$O$21,"")</f>
        <v/>
      </c>
      <c r="P5">
        <f>XLOOKUP($B5,'GTA Eligible'!$B$2:$B$21,'GTA Eligible'!$P$2:$P$21,"")</f>
        <v/>
      </c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>
        <f>XLOOKUP($B6,'GTA Eligible'!$B$2:$B$21,'GTA Eligible'!$A$2:$A$21,"")</f>
        <v/>
      </c>
      <c r="B6" t="inlineStr">
        <is>
          <t>2292</t>
        </is>
      </c>
      <c r="C6">
        <f>XLOOKUP($B6,'GTA Eligible'!$B$2:$B$21,'GTA Eligible'!$C$2:$C$21,"")</f>
        <v/>
      </c>
      <c r="D6">
        <f>XLOOKUP($B6,'GTA Eligible'!$B$2:$B$21,'GTA Eligible'!$D$2:$D$21,"")</f>
        <v/>
      </c>
      <c r="E6">
        <f>XLOOKUP($B6,'GTA Eligible'!$B$2:$B$21,'GTA Eligible'!$E$2:$E$21,"")</f>
        <v/>
      </c>
      <c r="F6">
        <f>XLOOKUP($B6,'GTA Eligible'!$B$2:$B$21,'GTA Eligible'!$F$2:$F$21,"")</f>
        <v/>
      </c>
      <c r="G6">
        <f>XLOOKUP($B6,'GTA Eligible'!$B$2:$B$21,'GTA Eligible'!$G$2:$G$21,"")</f>
        <v/>
      </c>
      <c r="H6">
        <f>XLOOKUP($B6,'GTA Eligible'!$B$2:$B$21,'GTA Eligible'!$H$2:$H$21,"")</f>
        <v/>
      </c>
      <c r="I6">
        <f>XLOOKUP($B6,'GTA Eligible'!$B$2:$B$21,'GTA Eligible'!$I$2:$I$21,"")</f>
        <v/>
      </c>
      <c r="J6">
        <f>XLOOKUP($B6,'GTA Eligible'!$B$2:$B$21,'GTA Eligible'!$J$2:$J$21,"")</f>
        <v/>
      </c>
      <c r="K6">
        <f>XLOOKUP($B6,'GTA Eligible'!$B$2:$B$21,'GTA Eligible'!$K$2:$K$21,"")</f>
        <v/>
      </c>
      <c r="L6">
        <f>XLOOKUP($B6,'GTA Eligible'!$B$2:$B$21,'GTA Eligible'!$L$2:$L$21,"")</f>
        <v/>
      </c>
      <c r="M6">
        <f>XLOOKUP($B6,'GTA Eligible'!$B$2:$B$21,'GTA Eligible'!$M$2:$M$21,"")</f>
        <v/>
      </c>
      <c r="N6">
        <f>XLOOKUP($B6,'GTA Eligible'!$B$2:$B$21,'GTA Eligible'!$N$2:$N$21,"")</f>
        <v/>
      </c>
      <c r="O6">
        <f>XLOOKUP($B6,'GTA Eligible'!$B$2:$B$21,'GTA Eligible'!$O$2:$O$21,"")</f>
        <v/>
      </c>
      <c r="P6">
        <f>XLOOKUP($B6,'GTA Eligible'!$B$2:$B$21,'GTA Eligible'!$P$2:$P$21,"")</f>
        <v/>
      </c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>
        <f>XLOOKUP($B7,'GTA Eligible'!$B$2:$B$21,'GTA Eligible'!$A$2:$A$21,"")</f>
        <v/>
      </c>
      <c r="B7" t="inlineStr">
        <is>
          <t>2073</t>
        </is>
      </c>
      <c r="C7">
        <f>XLOOKUP($B7,'GTA Eligible'!$B$2:$B$21,'GTA Eligible'!$C$2:$C$21,"")</f>
        <v/>
      </c>
      <c r="D7">
        <f>XLOOKUP($B7,'GTA Eligible'!$B$2:$B$21,'GTA Eligible'!$D$2:$D$21,"")</f>
        <v/>
      </c>
      <c r="E7">
        <f>XLOOKUP($B7,'GTA Eligible'!$B$2:$B$21,'GTA Eligible'!$E$2:$E$21,"")</f>
        <v/>
      </c>
      <c r="F7">
        <f>XLOOKUP($B7,'GTA Eligible'!$B$2:$B$21,'GTA Eligible'!$F$2:$F$21,"")</f>
        <v/>
      </c>
      <c r="G7">
        <f>XLOOKUP($B7,'GTA Eligible'!$B$2:$B$21,'GTA Eligible'!$G$2:$G$21,"")</f>
        <v/>
      </c>
      <c r="H7">
        <f>XLOOKUP($B7,'GTA Eligible'!$B$2:$B$21,'GTA Eligible'!$H$2:$H$21,"")</f>
        <v/>
      </c>
      <c r="I7">
        <f>XLOOKUP($B7,'GTA Eligible'!$B$2:$B$21,'GTA Eligible'!$I$2:$I$21,"")</f>
        <v/>
      </c>
      <c r="J7">
        <f>XLOOKUP($B7,'GTA Eligible'!$B$2:$B$21,'GTA Eligible'!$J$2:$J$21,"")</f>
        <v/>
      </c>
      <c r="K7">
        <f>XLOOKUP($B7,'GTA Eligible'!$B$2:$B$21,'GTA Eligible'!$K$2:$K$21,"")</f>
        <v/>
      </c>
      <c r="L7">
        <f>XLOOKUP($B7,'GTA Eligible'!$B$2:$B$21,'GTA Eligible'!$L$2:$L$21,"")</f>
        <v/>
      </c>
      <c r="M7">
        <f>XLOOKUP($B7,'GTA Eligible'!$B$2:$B$21,'GTA Eligible'!$M$2:$M$21,"")</f>
        <v/>
      </c>
      <c r="N7">
        <f>XLOOKUP($B7,'GTA Eligible'!$B$2:$B$21,'GTA Eligible'!$N$2:$N$21,"")</f>
        <v/>
      </c>
      <c r="O7">
        <f>XLOOKUP($B7,'GTA Eligible'!$B$2:$B$21,'GTA Eligible'!$O$2:$O$21,"")</f>
        <v/>
      </c>
      <c r="P7">
        <f>XLOOKUP($B7,'GTA Eligible'!$B$2:$B$21,'GTA Eligible'!$P$2:$P$21,"")</f>
        <v/>
      </c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>
        <f>XLOOKUP($B8,'GTA Eligible'!$B$2:$B$21,'GTA Eligible'!$A$2:$A$21,"")</f>
        <v/>
      </c>
      <c r="B8" t="inlineStr">
        <is>
          <t>2069</t>
        </is>
      </c>
      <c r="C8">
        <f>XLOOKUP($B8,'GTA Eligible'!$B$2:$B$21,'GTA Eligible'!$C$2:$C$21,"")</f>
        <v/>
      </c>
      <c r="D8">
        <f>XLOOKUP($B8,'GTA Eligible'!$B$2:$B$21,'GTA Eligible'!$D$2:$D$21,"")</f>
        <v/>
      </c>
      <c r="E8">
        <f>XLOOKUP($B8,'GTA Eligible'!$B$2:$B$21,'GTA Eligible'!$E$2:$E$21,"")</f>
        <v/>
      </c>
      <c r="F8">
        <f>XLOOKUP($B8,'GTA Eligible'!$B$2:$B$21,'GTA Eligible'!$F$2:$F$21,"")</f>
        <v/>
      </c>
      <c r="G8">
        <f>XLOOKUP($B8,'GTA Eligible'!$B$2:$B$21,'GTA Eligible'!$G$2:$G$21,"")</f>
        <v/>
      </c>
      <c r="H8">
        <f>XLOOKUP($B8,'GTA Eligible'!$B$2:$B$21,'GTA Eligible'!$H$2:$H$21,"")</f>
        <v/>
      </c>
      <c r="I8">
        <f>XLOOKUP($B8,'GTA Eligible'!$B$2:$B$21,'GTA Eligible'!$I$2:$I$21,"")</f>
        <v/>
      </c>
      <c r="J8">
        <f>XLOOKUP($B8,'GTA Eligible'!$B$2:$B$21,'GTA Eligible'!$J$2:$J$21,"")</f>
        <v/>
      </c>
      <c r="K8">
        <f>XLOOKUP($B8,'GTA Eligible'!$B$2:$B$21,'GTA Eligible'!$K$2:$K$21,"")</f>
        <v/>
      </c>
      <c r="L8">
        <f>XLOOKUP($B8,'GTA Eligible'!$B$2:$B$21,'GTA Eligible'!$L$2:$L$21,"")</f>
        <v/>
      </c>
      <c r="M8">
        <f>XLOOKUP($B8,'GTA Eligible'!$B$2:$B$21,'GTA Eligible'!$M$2:$M$21,"")</f>
        <v/>
      </c>
      <c r="N8">
        <f>XLOOKUP($B8,'GTA Eligible'!$B$2:$B$21,'GTA Eligible'!$N$2:$N$21,"")</f>
        <v/>
      </c>
      <c r="O8">
        <f>XLOOKUP($B8,'GTA Eligible'!$B$2:$B$21,'GTA Eligible'!$O$2:$O$21,"")</f>
        <v/>
      </c>
      <c r="P8">
        <f>XLOOKUP($B8,'GTA Eligible'!$B$2:$B$21,'GTA Eligible'!$P$2:$P$21,"")</f>
        <v/>
      </c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>
        <f>XLOOKUP($B9,'GTA Eligible'!$B$2:$B$21,'GTA Eligible'!$A$2:$A$21,"")</f>
        <v/>
      </c>
      <c r="B9" t="inlineStr">
        <is>
          <t>2074</t>
        </is>
      </c>
      <c r="C9">
        <f>XLOOKUP($B9,'GTA Eligible'!$B$2:$B$21,'GTA Eligible'!$C$2:$C$21,"")</f>
        <v/>
      </c>
      <c r="D9">
        <f>XLOOKUP($B9,'GTA Eligible'!$B$2:$B$21,'GTA Eligible'!$D$2:$D$21,"")</f>
        <v/>
      </c>
      <c r="E9">
        <f>XLOOKUP($B9,'GTA Eligible'!$B$2:$B$21,'GTA Eligible'!$E$2:$E$21,"")</f>
        <v/>
      </c>
      <c r="F9">
        <f>XLOOKUP($B9,'GTA Eligible'!$B$2:$B$21,'GTA Eligible'!$F$2:$F$21,"")</f>
        <v/>
      </c>
      <c r="G9">
        <f>XLOOKUP($B9,'GTA Eligible'!$B$2:$B$21,'GTA Eligible'!$G$2:$G$21,"")</f>
        <v/>
      </c>
      <c r="H9">
        <f>XLOOKUP($B9,'GTA Eligible'!$B$2:$B$21,'GTA Eligible'!$H$2:$H$21,"")</f>
        <v/>
      </c>
      <c r="I9">
        <f>XLOOKUP($B9,'GTA Eligible'!$B$2:$B$21,'GTA Eligible'!$I$2:$I$21,"")</f>
        <v/>
      </c>
      <c r="J9">
        <f>XLOOKUP($B9,'GTA Eligible'!$B$2:$B$21,'GTA Eligible'!$J$2:$J$21,"")</f>
        <v/>
      </c>
      <c r="K9">
        <f>XLOOKUP($B9,'GTA Eligible'!$B$2:$B$21,'GTA Eligible'!$K$2:$K$21,"")</f>
        <v/>
      </c>
      <c r="L9">
        <f>XLOOKUP($B9,'GTA Eligible'!$B$2:$B$21,'GTA Eligible'!$L$2:$L$21,"")</f>
        <v/>
      </c>
      <c r="M9">
        <f>XLOOKUP($B9,'GTA Eligible'!$B$2:$B$21,'GTA Eligible'!$M$2:$M$21,"")</f>
        <v/>
      </c>
      <c r="N9">
        <f>XLOOKUP($B9,'GTA Eligible'!$B$2:$B$21,'GTA Eligible'!$N$2:$N$21,"")</f>
        <v/>
      </c>
      <c r="O9">
        <f>XLOOKUP($B9,'GTA Eligible'!$B$2:$B$21,'GTA Eligible'!$O$2:$O$21,"")</f>
        <v/>
      </c>
      <c r="P9">
        <f>XLOOKUP($B9,'GTA Eligible'!$B$2:$B$21,'GTA Eligible'!$P$2:$P$21,"")</f>
        <v/>
      </c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>
        <f>XLOOKUP($B10,'GTA Eligible'!$B$2:$B$21,'GTA Eligible'!$A$2:$A$21,"")</f>
        <v/>
      </c>
      <c r="B10" t="inlineStr">
        <is>
          <t>2075</t>
        </is>
      </c>
      <c r="C10">
        <f>XLOOKUP($B10,'GTA Eligible'!$B$2:$B$21,'GTA Eligible'!$C$2:$C$21,"")</f>
        <v/>
      </c>
      <c r="D10">
        <f>XLOOKUP($B10,'GTA Eligible'!$B$2:$B$21,'GTA Eligible'!$D$2:$D$21,"")</f>
        <v/>
      </c>
      <c r="E10">
        <f>XLOOKUP($B10,'GTA Eligible'!$B$2:$B$21,'GTA Eligible'!$E$2:$E$21,"")</f>
        <v/>
      </c>
      <c r="F10">
        <f>XLOOKUP($B10,'GTA Eligible'!$B$2:$B$21,'GTA Eligible'!$F$2:$F$21,"")</f>
        <v/>
      </c>
      <c r="G10">
        <f>XLOOKUP($B10,'GTA Eligible'!$B$2:$B$21,'GTA Eligible'!$G$2:$G$21,"")</f>
        <v/>
      </c>
      <c r="H10">
        <f>XLOOKUP($B10,'GTA Eligible'!$B$2:$B$21,'GTA Eligible'!$H$2:$H$21,"")</f>
        <v/>
      </c>
      <c r="I10">
        <f>XLOOKUP($B10,'GTA Eligible'!$B$2:$B$21,'GTA Eligible'!$I$2:$I$21,"")</f>
        <v/>
      </c>
      <c r="J10">
        <f>XLOOKUP($B10,'GTA Eligible'!$B$2:$B$21,'GTA Eligible'!$J$2:$J$21,"")</f>
        <v/>
      </c>
      <c r="K10">
        <f>XLOOKUP($B10,'GTA Eligible'!$B$2:$B$21,'GTA Eligible'!$K$2:$K$21,"")</f>
        <v/>
      </c>
      <c r="L10">
        <f>XLOOKUP($B10,'GTA Eligible'!$B$2:$B$21,'GTA Eligible'!$L$2:$L$21,"")</f>
        <v/>
      </c>
      <c r="M10">
        <f>XLOOKUP($B10,'GTA Eligible'!$B$2:$B$21,'GTA Eligible'!$M$2:$M$21,"")</f>
        <v/>
      </c>
      <c r="N10">
        <f>XLOOKUP($B10,'GTA Eligible'!$B$2:$B$21,'GTA Eligible'!$N$2:$N$21,"")</f>
        <v/>
      </c>
      <c r="O10">
        <f>XLOOKUP($B10,'GTA Eligible'!$B$2:$B$21,'GTA Eligible'!$O$2:$O$21,"")</f>
        <v/>
      </c>
      <c r="P10">
        <f>XLOOKUP($B10,'GTA Eligible'!$B$2:$B$21,'GTA Eligible'!$P$2:$P$21,"")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>
        <f>XLOOKUP($B11,'GTA Eligible'!$B$2:$B$21,'GTA Eligible'!$A$2:$A$21,"")</f>
        <v/>
      </c>
      <c r="B11" t="inlineStr">
        <is>
          <t>2076</t>
        </is>
      </c>
      <c r="C11">
        <f>XLOOKUP($B11,'GTA Eligible'!$B$2:$B$21,'GTA Eligible'!$C$2:$C$21,"")</f>
        <v/>
      </c>
      <c r="D11">
        <f>XLOOKUP($B11,'GTA Eligible'!$B$2:$B$21,'GTA Eligible'!$D$2:$D$21,"")</f>
        <v/>
      </c>
      <c r="E11">
        <f>XLOOKUP($B11,'GTA Eligible'!$B$2:$B$21,'GTA Eligible'!$E$2:$E$21,"")</f>
        <v/>
      </c>
      <c r="F11">
        <f>XLOOKUP($B11,'GTA Eligible'!$B$2:$B$21,'GTA Eligible'!$F$2:$F$21,"")</f>
        <v/>
      </c>
      <c r="G11">
        <f>XLOOKUP($B11,'GTA Eligible'!$B$2:$B$21,'GTA Eligible'!$G$2:$G$21,"")</f>
        <v/>
      </c>
      <c r="H11">
        <f>XLOOKUP($B11,'GTA Eligible'!$B$2:$B$21,'GTA Eligible'!$H$2:$H$21,"")</f>
        <v/>
      </c>
      <c r="I11">
        <f>XLOOKUP($B11,'GTA Eligible'!$B$2:$B$21,'GTA Eligible'!$I$2:$I$21,"")</f>
        <v/>
      </c>
      <c r="J11">
        <f>XLOOKUP($B11,'GTA Eligible'!$B$2:$B$21,'GTA Eligible'!$J$2:$J$21,"")</f>
        <v/>
      </c>
      <c r="K11">
        <f>XLOOKUP($B11,'GTA Eligible'!$B$2:$B$21,'GTA Eligible'!$K$2:$K$21,"")</f>
        <v/>
      </c>
      <c r="L11">
        <f>XLOOKUP($B11,'GTA Eligible'!$B$2:$B$21,'GTA Eligible'!$L$2:$L$21,"")</f>
        <v/>
      </c>
      <c r="M11">
        <f>XLOOKUP($B11,'GTA Eligible'!$B$2:$B$21,'GTA Eligible'!$M$2:$M$21,"")</f>
        <v/>
      </c>
      <c r="N11">
        <f>XLOOKUP($B11,'GTA Eligible'!$B$2:$B$21,'GTA Eligible'!$N$2:$N$21,"")</f>
        <v/>
      </c>
      <c r="O11">
        <f>XLOOKUP($B11,'GTA Eligible'!$B$2:$B$21,'GTA Eligible'!$O$2:$O$21,"")</f>
        <v/>
      </c>
      <c r="P11">
        <f>XLOOKUP($B11,'GTA Eligible'!$B$2:$B$21,'GTA Eligible'!$P$2:$P$21,"")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>
        <f>XLOOKUP($B12,'GTA Eligible'!$B$2:$B$21,'GTA Eligible'!$A$2:$A$21,"")</f>
        <v/>
      </c>
      <c r="B12" t="inlineStr">
        <is>
          <t>2077</t>
        </is>
      </c>
      <c r="C12">
        <f>XLOOKUP($B12,'GTA Eligible'!$B$2:$B$21,'GTA Eligible'!$C$2:$C$21,"")</f>
        <v/>
      </c>
      <c r="D12">
        <f>XLOOKUP($B12,'GTA Eligible'!$B$2:$B$21,'GTA Eligible'!$D$2:$D$21,"")</f>
        <v/>
      </c>
      <c r="E12">
        <f>XLOOKUP($B12,'GTA Eligible'!$B$2:$B$21,'GTA Eligible'!$E$2:$E$21,"")</f>
        <v/>
      </c>
      <c r="F12">
        <f>XLOOKUP($B12,'GTA Eligible'!$B$2:$B$21,'GTA Eligible'!$F$2:$F$21,"")</f>
        <v/>
      </c>
      <c r="G12">
        <f>XLOOKUP($B12,'GTA Eligible'!$B$2:$B$21,'GTA Eligible'!$G$2:$G$21,"")</f>
        <v/>
      </c>
      <c r="H12">
        <f>XLOOKUP($B12,'GTA Eligible'!$B$2:$B$21,'GTA Eligible'!$H$2:$H$21,"")</f>
        <v/>
      </c>
      <c r="I12">
        <f>XLOOKUP($B12,'GTA Eligible'!$B$2:$B$21,'GTA Eligible'!$I$2:$I$21,"")</f>
        <v/>
      </c>
      <c r="J12">
        <f>XLOOKUP($B12,'GTA Eligible'!$B$2:$B$21,'GTA Eligible'!$J$2:$J$21,"")</f>
        <v/>
      </c>
      <c r="K12">
        <f>XLOOKUP($B12,'GTA Eligible'!$B$2:$B$21,'GTA Eligible'!$K$2:$K$21,"")</f>
        <v/>
      </c>
      <c r="L12">
        <f>XLOOKUP($B12,'GTA Eligible'!$B$2:$B$21,'GTA Eligible'!$L$2:$L$21,"")</f>
        <v/>
      </c>
      <c r="M12">
        <f>XLOOKUP($B12,'GTA Eligible'!$B$2:$B$21,'GTA Eligible'!$M$2:$M$21,"")</f>
        <v/>
      </c>
      <c r="N12">
        <f>XLOOKUP($B12,'GTA Eligible'!$B$2:$B$21,'GTA Eligible'!$N$2:$N$21,"")</f>
        <v/>
      </c>
      <c r="O12">
        <f>XLOOKUP($B12,'GTA Eligible'!$B$2:$B$21,'GTA Eligible'!$O$2:$O$21,"")</f>
        <v/>
      </c>
      <c r="P12">
        <f>XLOOKUP($B12,'GTA Eligible'!$B$2:$B$21,'GTA Eligible'!$P$2:$P$21,"")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>
        <f>XLOOKUP($B13,'GTA Eligible'!$B$2:$B$21,'GTA Eligible'!$A$2:$A$21,"")</f>
        <v/>
      </c>
      <c r="B13" t="inlineStr">
        <is>
          <t>2079</t>
        </is>
      </c>
      <c r="C13">
        <f>XLOOKUP($B13,'GTA Eligible'!$B$2:$B$21,'GTA Eligible'!$C$2:$C$21,"")</f>
        <v/>
      </c>
      <c r="D13">
        <f>XLOOKUP($B13,'GTA Eligible'!$B$2:$B$21,'GTA Eligible'!$D$2:$D$21,"")</f>
        <v/>
      </c>
      <c r="E13">
        <f>XLOOKUP($B13,'GTA Eligible'!$B$2:$B$21,'GTA Eligible'!$E$2:$E$21,"")</f>
        <v/>
      </c>
      <c r="F13">
        <f>XLOOKUP($B13,'GTA Eligible'!$B$2:$B$21,'GTA Eligible'!$F$2:$F$21,"")</f>
        <v/>
      </c>
      <c r="G13">
        <f>XLOOKUP($B13,'GTA Eligible'!$B$2:$B$21,'GTA Eligible'!$G$2:$G$21,"")</f>
        <v/>
      </c>
      <c r="H13">
        <f>XLOOKUP($B13,'GTA Eligible'!$B$2:$B$21,'GTA Eligible'!$H$2:$H$21,"")</f>
        <v/>
      </c>
      <c r="I13">
        <f>XLOOKUP($B13,'GTA Eligible'!$B$2:$B$21,'GTA Eligible'!$I$2:$I$21,"")</f>
        <v/>
      </c>
      <c r="J13">
        <f>XLOOKUP($B13,'GTA Eligible'!$B$2:$B$21,'GTA Eligible'!$J$2:$J$21,"")</f>
        <v/>
      </c>
      <c r="K13">
        <f>XLOOKUP($B13,'GTA Eligible'!$B$2:$B$21,'GTA Eligible'!$K$2:$K$21,"")</f>
        <v/>
      </c>
      <c r="L13">
        <f>XLOOKUP($B13,'GTA Eligible'!$B$2:$B$21,'GTA Eligible'!$L$2:$L$21,"")</f>
        <v/>
      </c>
      <c r="M13">
        <f>XLOOKUP($B13,'GTA Eligible'!$B$2:$B$21,'GTA Eligible'!$M$2:$M$21,"")</f>
        <v/>
      </c>
      <c r="N13">
        <f>XLOOKUP($B13,'GTA Eligible'!$B$2:$B$21,'GTA Eligible'!$N$2:$N$21,"")</f>
        <v/>
      </c>
      <c r="O13">
        <f>XLOOKUP($B13,'GTA Eligible'!$B$2:$B$21,'GTA Eligible'!$O$2:$O$21,"")</f>
        <v/>
      </c>
      <c r="P13">
        <f>XLOOKUP($B13,'GTA Eligible'!$B$2:$B$21,'GTA Eligible'!$P$2:$P$21,"")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>
        <f>XLOOKUP($B14,'GTA Eligible'!$B$2:$B$21,'GTA Eligible'!$A$2:$A$21,"")</f>
        <v/>
      </c>
      <c r="B14" t="inlineStr">
        <is>
          <t>2078</t>
        </is>
      </c>
      <c r="C14">
        <f>XLOOKUP($B14,'GTA Eligible'!$B$2:$B$21,'GTA Eligible'!$C$2:$C$21,"")</f>
        <v/>
      </c>
      <c r="D14">
        <f>XLOOKUP($B14,'GTA Eligible'!$B$2:$B$21,'GTA Eligible'!$D$2:$D$21,"")</f>
        <v/>
      </c>
      <c r="E14">
        <f>XLOOKUP($B14,'GTA Eligible'!$B$2:$B$21,'GTA Eligible'!$E$2:$E$21,"")</f>
        <v/>
      </c>
      <c r="F14">
        <f>XLOOKUP($B14,'GTA Eligible'!$B$2:$B$21,'GTA Eligible'!$F$2:$F$21,"")</f>
        <v/>
      </c>
      <c r="G14">
        <f>XLOOKUP($B14,'GTA Eligible'!$B$2:$B$21,'GTA Eligible'!$G$2:$G$21,"")</f>
        <v/>
      </c>
      <c r="H14">
        <f>XLOOKUP($B14,'GTA Eligible'!$B$2:$B$21,'GTA Eligible'!$H$2:$H$21,"")</f>
        <v/>
      </c>
      <c r="I14">
        <f>XLOOKUP($B14,'GTA Eligible'!$B$2:$B$21,'GTA Eligible'!$I$2:$I$21,"")</f>
        <v/>
      </c>
      <c r="J14">
        <f>XLOOKUP($B14,'GTA Eligible'!$B$2:$B$21,'GTA Eligible'!$J$2:$J$21,"")</f>
        <v/>
      </c>
      <c r="K14">
        <f>XLOOKUP($B14,'GTA Eligible'!$B$2:$B$21,'GTA Eligible'!$K$2:$K$21,"")</f>
        <v/>
      </c>
      <c r="L14">
        <f>XLOOKUP($B14,'GTA Eligible'!$B$2:$B$21,'GTA Eligible'!$L$2:$L$21,"")</f>
        <v/>
      </c>
      <c r="M14">
        <f>XLOOKUP($B14,'GTA Eligible'!$B$2:$B$21,'GTA Eligible'!$M$2:$M$21,"")</f>
        <v/>
      </c>
      <c r="N14">
        <f>XLOOKUP($B14,'GTA Eligible'!$B$2:$B$21,'GTA Eligible'!$N$2:$N$21,"")</f>
        <v/>
      </c>
      <c r="O14">
        <f>XLOOKUP($B14,'GTA Eligible'!$B$2:$B$21,'GTA Eligible'!$O$2:$O$21,"")</f>
        <v/>
      </c>
      <c r="P14">
        <f>XLOOKUP($B14,'GTA Eligible'!$B$2:$B$21,'GTA Eligible'!$P$2:$P$21,"")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>
        <f>XLOOKUP($B15,'GTA Eligible'!$B$2:$B$21,'GTA Eligible'!$A$2:$A$21,"")</f>
        <v/>
      </c>
      <c r="B15" t="inlineStr">
        <is>
          <t>2080</t>
        </is>
      </c>
      <c r="C15">
        <f>XLOOKUP($B15,'GTA Eligible'!$B$2:$B$21,'GTA Eligible'!$C$2:$C$21,"")</f>
        <v/>
      </c>
      <c r="D15">
        <f>XLOOKUP($B15,'GTA Eligible'!$B$2:$B$21,'GTA Eligible'!$D$2:$D$21,"")</f>
        <v/>
      </c>
      <c r="E15">
        <f>XLOOKUP($B15,'GTA Eligible'!$B$2:$B$21,'GTA Eligible'!$E$2:$E$21,"")</f>
        <v/>
      </c>
      <c r="F15">
        <f>XLOOKUP($B15,'GTA Eligible'!$B$2:$B$21,'GTA Eligible'!$F$2:$F$21,"")</f>
        <v/>
      </c>
      <c r="G15">
        <f>XLOOKUP($B15,'GTA Eligible'!$B$2:$B$21,'GTA Eligible'!$G$2:$G$21,"")</f>
        <v/>
      </c>
      <c r="H15">
        <f>XLOOKUP($B15,'GTA Eligible'!$B$2:$B$21,'GTA Eligible'!$H$2:$H$21,"")</f>
        <v/>
      </c>
      <c r="I15">
        <f>XLOOKUP($B15,'GTA Eligible'!$B$2:$B$21,'GTA Eligible'!$I$2:$I$21,"")</f>
        <v/>
      </c>
      <c r="J15">
        <f>XLOOKUP($B15,'GTA Eligible'!$B$2:$B$21,'GTA Eligible'!$J$2:$J$21,"")</f>
        <v/>
      </c>
      <c r="K15">
        <f>XLOOKUP($B15,'GTA Eligible'!$B$2:$B$21,'GTA Eligible'!$K$2:$K$21,"")</f>
        <v/>
      </c>
      <c r="L15">
        <f>XLOOKUP($B15,'GTA Eligible'!$B$2:$B$21,'GTA Eligible'!$L$2:$L$21,"")</f>
        <v/>
      </c>
      <c r="M15">
        <f>XLOOKUP($B15,'GTA Eligible'!$B$2:$B$21,'GTA Eligible'!$M$2:$M$21,"")</f>
        <v/>
      </c>
      <c r="N15">
        <f>XLOOKUP($B15,'GTA Eligible'!$B$2:$B$21,'GTA Eligible'!$N$2:$N$21,"")</f>
        <v/>
      </c>
      <c r="O15">
        <f>XLOOKUP($B15,'GTA Eligible'!$B$2:$B$21,'GTA Eligible'!$O$2:$O$21,"")</f>
        <v/>
      </c>
      <c r="P15">
        <f>XLOOKUP($B15,'GTA Eligible'!$B$2:$B$21,'GTA Eligible'!$P$2:$P$21,"")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>
        <f>XLOOKUP($B16,'GTA Eligible'!$B$2:$B$21,'GTA Eligible'!$A$2:$A$21,"")</f>
        <v/>
      </c>
      <c r="B16" t="inlineStr">
        <is>
          <t>2081</t>
        </is>
      </c>
      <c r="C16">
        <f>XLOOKUP($B16,'GTA Eligible'!$B$2:$B$21,'GTA Eligible'!$C$2:$C$21,"")</f>
        <v/>
      </c>
      <c r="D16">
        <f>XLOOKUP($B16,'GTA Eligible'!$B$2:$B$21,'GTA Eligible'!$D$2:$D$21,"")</f>
        <v/>
      </c>
      <c r="E16">
        <f>XLOOKUP($B16,'GTA Eligible'!$B$2:$B$21,'GTA Eligible'!$E$2:$E$21,"")</f>
        <v/>
      </c>
      <c r="F16">
        <f>XLOOKUP($B16,'GTA Eligible'!$B$2:$B$21,'GTA Eligible'!$F$2:$F$21,"")</f>
        <v/>
      </c>
      <c r="G16">
        <f>XLOOKUP($B16,'GTA Eligible'!$B$2:$B$21,'GTA Eligible'!$G$2:$G$21,"")</f>
        <v/>
      </c>
      <c r="H16">
        <f>XLOOKUP($B16,'GTA Eligible'!$B$2:$B$21,'GTA Eligible'!$H$2:$H$21,"")</f>
        <v/>
      </c>
      <c r="I16">
        <f>XLOOKUP($B16,'GTA Eligible'!$B$2:$B$21,'GTA Eligible'!$I$2:$I$21,"")</f>
        <v/>
      </c>
      <c r="J16">
        <f>XLOOKUP($B16,'GTA Eligible'!$B$2:$B$21,'GTA Eligible'!$J$2:$J$21,"")</f>
        <v/>
      </c>
      <c r="K16">
        <f>XLOOKUP($B16,'GTA Eligible'!$B$2:$B$21,'GTA Eligible'!$K$2:$K$21,"")</f>
        <v/>
      </c>
      <c r="L16">
        <f>XLOOKUP($B16,'GTA Eligible'!$B$2:$B$21,'GTA Eligible'!$L$2:$L$21,"")</f>
        <v/>
      </c>
      <c r="M16">
        <f>XLOOKUP($B16,'GTA Eligible'!$B$2:$B$21,'GTA Eligible'!$M$2:$M$21,"")</f>
        <v/>
      </c>
      <c r="N16">
        <f>XLOOKUP($B16,'GTA Eligible'!$B$2:$B$21,'GTA Eligible'!$N$2:$N$21,"")</f>
        <v/>
      </c>
      <c r="O16">
        <f>XLOOKUP($B16,'GTA Eligible'!$B$2:$B$21,'GTA Eligible'!$O$2:$O$21,"")</f>
        <v/>
      </c>
      <c r="P16">
        <f>XLOOKUP($B16,'GTA Eligible'!$B$2:$B$21,'GTA Eligible'!$P$2:$P$21,"")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>
        <f>XLOOKUP($B17,'GTA Eligible'!$B$2:$B$21,'GTA Eligible'!$A$2:$A$21,"")</f>
        <v/>
      </c>
      <c r="B17" t="inlineStr">
        <is>
          <t>2088</t>
        </is>
      </c>
      <c r="C17">
        <f>XLOOKUP($B17,'GTA Eligible'!$B$2:$B$21,'GTA Eligible'!$C$2:$C$21,"")</f>
        <v/>
      </c>
      <c r="D17">
        <f>XLOOKUP($B17,'GTA Eligible'!$B$2:$B$21,'GTA Eligible'!$D$2:$D$21,"")</f>
        <v/>
      </c>
      <c r="E17">
        <f>XLOOKUP($B17,'GTA Eligible'!$B$2:$B$21,'GTA Eligible'!$E$2:$E$21,"")</f>
        <v/>
      </c>
      <c r="F17">
        <f>XLOOKUP($B17,'GTA Eligible'!$B$2:$B$21,'GTA Eligible'!$F$2:$F$21,"")</f>
        <v/>
      </c>
      <c r="G17">
        <f>XLOOKUP($B17,'GTA Eligible'!$B$2:$B$21,'GTA Eligible'!$G$2:$G$21,"")</f>
        <v/>
      </c>
      <c r="H17">
        <f>XLOOKUP($B17,'GTA Eligible'!$B$2:$B$21,'GTA Eligible'!$H$2:$H$21,"")</f>
        <v/>
      </c>
      <c r="I17">
        <f>XLOOKUP($B17,'GTA Eligible'!$B$2:$B$21,'GTA Eligible'!$I$2:$I$21,"")</f>
        <v/>
      </c>
      <c r="J17">
        <f>XLOOKUP($B17,'GTA Eligible'!$B$2:$B$21,'GTA Eligible'!$J$2:$J$21,"")</f>
        <v/>
      </c>
      <c r="K17">
        <f>XLOOKUP($B17,'GTA Eligible'!$B$2:$B$21,'GTA Eligible'!$K$2:$K$21,"")</f>
        <v/>
      </c>
      <c r="L17">
        <f>XLOOKUP($B17,'GTA Eligible'!$B$2:$B$21,'GTA Eligible'!$L$2:$L$21,"")</f>
        <v/>
      </c>
      <c r="M17">
        <f>XLOOKUP($B17,'GTA Eligible'!$B$2:$B$21,'GTA Eligible'!$M$2:$M$21,"")</f>
        <v/>
      </c>
      <c r="N17">
        <f>XLOOKUP($B17,'GTA Eligible'!$B$2:$B$21,'GTA Eligible'!$N$2:$N$21,"")</f>
        <v/>
      </c>
      <c r="O17">
        <f>XLOOKUP($B17,'GTA Eligible'!$B$2:$B$21,'GTA Eligible'!$O$2:$O$21,"")</f>
        <v/>
      </c>
      <c r="P17">
        <f>XLOOKUP($B17,'GTA Eligible'!$B$2:$B$21,'GTA Eligible'!$P$2:$P$21,"")</f>
        <v/>
      </c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>
        <f>XLOOKUP($B18,'GTA Eligible'!$B$2:$B$21,'GTA Eligible'!$A$2:$A$21,"")</f>
        <v/>
      </c>
      <c r="B18" t="inlineStr">
        <is>
          <t>2083</t>
        </is>
      </c>
      <c r="C18">
        <f>XLOOKUP($B18,'GTA Eligible'!$B$2:$B$21,'GTA Eligible'!$C$2:$C$21,"")</f>
        <v/>
      </c>
      <c r="D18">
        <f>XLOOKUP($B18,'GTA Eligible'!$B$2:$B$21,'GTA Eligible'!$D$2:$D$21,"")</f>
        <v/>
      </c>
      <c r="E18">
        <f>XLOOKUP($B18,'GTA Eligible'!$B$2:$B$21,'GTA Eligible'!$E$2:$E$21,"")</f>
        <v/>
      </c>
      <c r="F18">
        <f>XLOOKUP($B18,'GTA Eligible'!$B$2:$B$21,'GTA Eligible'!$F$2:$F$21,"")</f>
        <v/>
      </c>
      <c r="G18">
        <f>XLOOKUP($B18,'GTA Eligible'!$B$2:$B$21,'GTA Eligible'!$G$2:$G$21,"")</f>
        <v/>
      </c>
      <c r="H18">
        <f>XLOOKUP($B18,'GTA Eligible'!$B$2:$B$21,'GTA Eligible'!$H$2:$H$21,"")</f>
        <v/>
      </c>
      <c r="I18">
        <f>XLOOKUP($B18,'GTA Eligible'!$B$2:$B$21,'GTA Eligible'!$I$2:$I$21,"")</f>
        <v/>
      </c>
      <c r="J18">
        <f>XLOOKUP($B18,'GTA Eligible'!$B$2:$B$21,'GTA Eligible'!$J$2:$J$21,"")</f>
        <v/>
      </c>
      <c r="K18">
        <f>XLOOKUP($B18,'GTA Eligible'!$B$2:$B$21,'GTA Eligible'!$K$2:$K$21,"")</f>
        <v/>
      </c>
      <c r="L18">
        <f>XLOOKUP($B18,'GTA Eligible'!$B$2:$B$21,'GTA Eligible'!$L$2:$L$21,"")</f>
        <v/>
      </c>
      <c r="M18">
        <f>XLOOKUP($B18,'GTA Eligible'!$B$2:$B$21,'GTA Eligible'!$M$2:$M$21,"")</f>
        <v/>
      </c>
      <c r="N18">
        <f>XLOOKUP($B18,'GTA Eligible'!$B$2:$B$21,'GTA Eligible'!$N$2:$N$21,"")</f>
        <v/>
      </c>
      <c r="O18">
        <f>XLOOKUP($B18,'GTA Eligible'!$B$2:$B$21,'GTA Eligible'!$O$2:$O$21,"")</f>
        <v/>
      </c>
      <c r="P18">
        <f>XLOOKUP($B18,'GTA Eligible'!$B$2:$B$21,'GTA Eligible'!$P$2:$P$21,"")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>
        <f>XLOOKUP($B19,'GTA Eligible'!$B$2:$B$21,'GTA Eligible'!$A$2:$A$21,"")</f>
        <v/>
      </c>
      <c r="B19" t="inlineStr">
        <is>
          <t>2082</t>
        </is>
      </c>
      <c r="C19">
        <f>XLOOKUP($B19,'GTA Eligible'!$B$2:$B$21,'GTA Eligible'!$C$2:$C$21,"")</f>
        <v/>
      </c>
      <c r="D19">
        <f>XLOOKUP($B19,'GTA Eligible'!$B$2:$B$21,'GTA Eligible'!$D$2:$D$21,"")</f>
        <v/>
      </c>
      <c r="E19">
        <f>XLOOKUP($B19,'GTA Eligible'!$B$2:$B$21,'GTA Eligible'!$E$2:$E$21,"")</f>
        <v/>
      </c>
      <c r="F19">
        <f>XLOOKUP($B19,'GTA Eligible'!$B$2:$B$21,'GTA Eligible'!$F$2:$F$21,"")</f>
        <v/>
      </c>
      <c r="G19">
        <f>XLOOKUP($B19,'GTA Eligible'!$B$2:$B$21,'GTA Eligible'!$G$2:$G$21,"")</f>
        <v/>
      </c>
      <c r="H19">
        <f>XLOOKUP($B19,'GTA Eligible'!$B$2:$B$21,'GTA Eligible'!$H$2:$H$21,"")</f>
        <v/>
      </c>
      <c r="I19">
        <f>XLOOKUP($B19,'GTA Eligible'!$B$2:$B$21,'GTA Eligible'!$I$2:$I$21,"")</f>
        <v/>
      </c>
      <c r="J19">
        <f>XLOOKUP($B19,'GTA Eligible'!$B$2:$B$21,'GTA Eligible'!$J$2:$J$21,"")</f>
        <v/>
      </c>
      <c r="K19">
        <f>XLOOKUP($B19,'GTA Eligible'!$B$2:$B$21,'GTA Eligible'!$K$2:$K$21,"")</f>
        <v/>
      </c>
      <c r="L19">
        <f>XLOOKUP($B19,'GTA Eligible'!$B$2:$B$21,'GTA Eligible'!$L$2:$L$21,"")</f>
        <v/>
      </c>
      <c r="M19">
        <f>XLOOKUP($B19,'GTA Eligible'!$B$2:$B$21,'GTA Eligible'!$M$2:$M$21,"")</f>
        <v/>
      </c>
      <c r="N19">
        <f>XLOOKUP($B19,'GTA Eligible'!$B$2:$B$21,'GTA Eligible'!$N$2:$N$21,"")</f>
        <v/>
      </c>
      <c r="O19">
        <f>XLOOKUP($B19,'GTA Eligible'!$B$2:$B$21,'GTA Eligible'!$O$2:$O$21,"")</f>
        <v/>
      </c>
      <c r="P19">
        <f>XLOOKUP($B19,'GTA Eligible'!$B$2:$B$21,'GTA Eligible'!$P$2:$P$21,"")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>
        <f>XLOOKUP($B20,'GTA Eligible'!$B$2:$B$21,'GTA Eligible'!$A$2:$A$21,"")</f>
        <v/>
      </c>
      <c r="B20" t="inlineStr">
        <is>
          <t>2233</t>
        </is>
      </c>
      <c r="C20">
        <f>XLOOKUP($B20,'GTA Eligible'!$B$2:$B$21,'GTA Eligible'!$C$2:$C$21,"")</f>
        <v/>
      </c>
      <c r="D20">
        <f>XLOOKUP($B20,'GTA Eligible'!$B$2:$B$21,'GTA Eligible'!$D$2:$D$21,"")</f>
        <v/>
      </c>
      <c r="E20">
        <f>XLOOKUP($B20,'GTA Eligible'!$B$2:$B$21,'GTA Eligible'!$E$2:$E$21,"")</f>
        <v/>
      </c>
      <c r="F20">
        <f>XLOOKUP($B20,'GTA Eligible'!$B$2:$B$21,'GTA Eligible'!$F$2:$F$21,"")</f>
        <v/>
      </c>
      <c r="G20">
        <f>XLOOKUP($B20,'GTA Eligible'!$B$2:$B$21,'GTA Eligible'!$G$2:$G$21,"")</f>
        <v/>
      </c>
      <c r="H20">
        <f>XLOOKUP($B20,'GTA Eligible'!$B$2:$B$21,'GTA Eligible'!$H$2:$H$21,"")</f>
        <v/>
      </c>
      <c r="I20">
        <f>XLOOKUP($B20,'GTA Eligible'!$B$2:$B$21,'GTA Eligible'!$I$2:$I$21,"")</f>
        <v/>
      </c>
      <c r="J20">
        <f>XLOOKUP($B20,'GTA Eligible'!$B$2:$B$21,'GTA Eligible'!$J$2:$J$21,"")</f>
        <v/>
      </c>
      <c r="K20">
        <f>XLOOKUP($B20,'GTA Eligible'!$B$2:$B$21,'GTA Eligible'!$K$2:$K$21,"")</f>
        <v/>
      </c>
      <c r="L20">
        <f>XLOOKUP($B20,'GTA Eligible'!$B$2:$B$21,'GTA Eligible'!$L$2:$L$21,"")</f>
        <v/>
      </c>
      <c r="M20">
        <f>XLOOKUP($B20,'GTA Eligible'!$B$2:$B$21,'GTA Eligible'!$M$2:$M$21,"")</f>
        <v/>
      </c>
      <c r="N20">
        <f>XLOOKUP($B20,'GTA Eligible'!$B$2:$B$21,'GTA Eligible'!$N$2:$N$21,"")</f>
        <v/>
      </c>
      <c r="O20">
        <f>XLOOKUP($B20,'GTA Eligible'!$B$2:$B$21,'GTA Eligible'!$O$2:$O$21,"")</f>
        <v/>
      </c>
      <c r="P20">
        <f>XLOOKUP($B20,'GTA Eligible'!$B$2:$B$21,'GTA Eligible'!$P$2:$P$21,"")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>
        <f>XLOOKUP($B21,'GTA Eligible'!$B$2:$B$21,'GTA Eligible'!$A$2:$A$21,"")</f>
        <v/>
      </c>
      <c r="B21" t="inlineStr">
        <is>
          <t>2185</t>
        </is>
      </c>
      <c r="C21">
        <f>XLOOKUP($B21,'GTA Eligible'!$B$2:$B$21,'GTA Eligible'!$C$2:$C$21,"")</f>
        <v/>
      </c>
      <c r="D21">
        <f>XLOOKUP($B21,'GTA Eligible'!$B$2:$B$21,'GTA Eligible'!$D$2:$D$21,"")</f>
        <v/>
      </c>
      <c r="E21">
        <f>XLOOKUP($B21,'GTA Eligible'!$B$2:$B$21,'GTA Eligible'!$E$2:$E$21,"")</f>
        <v/>
      </c>
      <c r="F21">
        <f>XLOOKUP($B21,'GTA Eligible'!$B$2:$B$21,'GTA Eligible'!$F$2:$F$21,"")</f>
        <v/>
      </c>
      <c r="G21">
        <f>XLOOKUP($B21,'GTA Eligible'!$B$2:$B$21,'GTA Eligible'!$G$2:$G$21,"")</f>
        <v/>
      </c>
      <c r="H21">
        <f>XLOOKUP($B21,'GTA Eligible'!$B$2:$B$21,'GTA Eligible'!$H$2:$H$21,"")</f>
        <v/>
      </c>
      <c r="I21">
        <f>XLOOKUP($B21,'GTA Eligible'!$B$2:$B$21,'GTA Eligible'!$I$2:$I$21,"")</f>
        <v/>
      </c>
      <c r="J21">
        <f>XLOOKUP($B21,'GTA Eligible'!$B$2:$B$21,'GTA Eligible'!$J$2:$J$21,"")</f>
        <v/>
      </c>
      <c r="K21">
        <f>XLOOKUP($B21,'GTA Eligible'!$B$2:$B$21,'GTA Eligible'!$K$2:$K$21,"")</f>
        <v/>
      </c>
      <c r="L21">
        <f>XLOOKUP($B21,'GTA Eligible'!$B$2:$B$21,'GTA Eligible'!$L$2:$L$21,"")</f>
        <v/>
      </c>
      <c r="M21">
        <f>XLOOKUP($B21,'GTA Eligible'!$B$2:$B$21,'GTA Eligible'!$M$2:$M$21,"")</f>
        <v/>
      </c>
      <c r="N21">
        <f>XLOOKUP($B21,'GTA Eligible'!$B$2:$B$21,'GTA Eligible'!$N$2:$N$21,"")</f>
        <v/>
      </c>
      <c r="O21">
        <f>XLOOKUP($B21,'GTA Eligible'!$B$2:$B$21,'GTA Eligible'!$O$2:$O$21,"")</f>
        <v/>
      </c>
      <c r="P21">
        <f>XLOOKUP($B21,'GTA Eligible'!$B$2:$B$21,'GTA Eligible'!$P$2:$P$21,"")</f>
        <v/>
      </c>
      <c r="Q21" s="1" t="n"/>
      <c r="R21" s="1" t="n"/>
      <c r="S21" s="1" t="n"/>
      <c r="T21" s="1" t="n"/>
      <c r="U21" s="1" t="n"/>
      <c r="V21" s="1" t="n"/>
      <c r="W21" s="1" t="n"/>
      <c r="X21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2070</t>
        </is>
      </c>
      <c r="C1" t="inlineStr">
        <is>
          <t>2071</t>
        </is>
      </c>
      <c r="D1" t="inlineStr">
        <is>
          <t>2072</t>
        </is>
      </c>
      <c r="E1" t="inlineStr">
        <is>
          <t>2090</t>
        </is>
      </c>
      <c r="F1" t="inlineStr">
        <is>
          <t>2292</t>
        </is>
      </c>
      <c r="G1" t="inlineStr">
        <is>
          <t>2073</t>
        </is>
      </c>
      <c r="H1" t="inlineStr">
        <is>
          <t>2069</t>
        </is>
      </c>
      <c r="I1" t="inlineStr">
        <is>
          <t>2074</t>
        </is>
      </c>
      <c r="J1" t="inlineStr">
        <is>
          <t>2075</t>
        </is>
      </c>
      <c r="K1" t="inlineStr">
        <is>
          <t>2076</t>
        </is>
      </c>
      <c r="L1" t="inlineStr">
        <is>
          <t>2077</t>
        </is>
      </c>
      <c r="M1" t="inlineStr">
        <is>
          <t>2079</t>
        </is>
      </c>
      <c r="N1" t="inlineStr">
        <is>
          <t>2078</t>
        </is>
      </c>
      <c r="O1" t="inlineStr">
        <is>
          <t>2080</t>
        </is>
      </c>
      <c r="P1" t="inlineStr">
        <is>
          <t>2081</t>
        </is>
      </c>
      <c r="Q1" t="inlineStr">
        <is>
          <t>2088</t>
        </is>
      </c>
      <c r="R1" t="inlineStr">
        <is>
          <t>2083</t>
        </is>
      </c>
      <c r="S1" t="inlineStr">
        <is>
          <t>2082</t>
        </is>
      </c>
      <c r="T1" t="inlineStr">
        <is>
          <t>2233</t>
        </is>
      </c>
      <c r="U1" t="inlineStr">
        <is>
          <t>2185</t>
        </is>
      </c>
    </row>
    <row r="2">
      <c r="A2" t="inlineStr">
        <is>
          <t>2070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FALSE</t>
        </is>
      </c>
      <c r="K2" t="inlineStr">
        <is>
          <t>TRUE</t>
        </is>
      </c>
      <c r="L2" t="inlineStr">
        <is>
          <t>TRUE</t>
        </is>
      </c>
      <c r="M2" t="inlineStr">
        <is>
          <t>FALSE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</row>
    <row r="3">
      <c r="A3" t="inlineStr">
        <is>
          <t>2071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FALSE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</row>
    <row r="4">
      <c r="A4" t="inlineStr">
        <is>
          <t>2072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FALSE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FALSE</t>
        </is>
      </c>
      <c r="U4" t="inlineStr">
        <is>
          <t>TRUE</t>
        </is>
      </c>
    </row>
    <row r="5">
      <c r="A5" t="inlineStr">
        <is>
          <t>2090</t>
        </is>
      </c>
      <c r="B5" t="inlineStr">
        <is>
          <t>TRUE</t>
        </is>
      </c>
      <c r="C5" t="inlineStr">
        <is>
          <t>TRUE</t>
        </is>
      </c>
      <c r="D5" t="inlineStr">
        <is>
          <t>FALSE</t>
        </is>
      </c>
      <c r="E5" t="inlineStr">
        <is>
          <t>TRUE</t>
        </is>
      </c>
      <c r="F5" t="inlineStr">
        <is>
          <t>FALSE</t>
        </is>
      </c>
      <c r="G5" t="inlineStr">
        <is>
          <t>TRUE</t>
        </is>
      </c>
      <c r="H5" t="inlineStr">
        <is>
          <t>FALSE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FALSE</t>
        </is>
      </c>
      <c r="T5" t="inlineStr">
        <is>
          <t>FALSE</t>
        </is>
      </c>
      <c r="U5" t="inlineStr">
        <is>
          <t>TRUE</t>
        </is>
      </c>
    </row>
    <row r="6">
      <c r="A6" t="inlineStr">
        <is>
          <t>2292</t>
        </is>
      </c>
      <c r="B6" t="inlineStr">
        <is>
          <t>TRUE</t>
        </is>
      </c>
      <c r="C6" t="inlineStr">
        <is>
          <t>TRUE</t>
        </is>
      </c>
      <c r="D6" t="inlineStr">
        <is>
          <t>FALSE</t>
        </is>
      </c>
      <c r="E6" t="inlineStr">
        <is>
          <t>FALSE</t>
        </is>
      </c>
      <c r="F6" t="inlineStr">
        <is>
          <t>TRUE</t>
        </is>
      </c>
      <c r="G6" t="inlineStr">
        <is>
          <t>TRUE</t>
        </is>
      </c>
      <c r="H6" t="inlineStr">
        <is>
          <t>FALSE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  <c r="T6" t="inlineStr">
        <is>
          <t>TRUE</t>
        </is>
      </c>
      <c r="U6" t="inlineStr">
        <is>
          <t>TRUE</t>
        </is>
      </c>
    </row>
    <row r="7">
      <c r="A7" t="inlineStr">
        <is>
          <t>2073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FALSE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</row>
    <row r="8">
      <c r="A8" t="inlineStr">
        <is>
          <t>2069</t>
        </is>
      </c>
      <c r="B8" t="inlineStr">
        <is>
          <t>TRUE</t>
        </is>
      </c>
      <c r="C8" t="inlineStr">
        <is>
          <t>TRUE</t>
        </is>
      </c>
      <c r="D8" t="inlineStr">
        <is>
          <t>FALSE</t>
        </is>
      </c>
      <c r="E8" t="inlineStr">
        <is>
          <t>FALSE</t>
        </is>
      </c>
      <c r="F8" t="inlineStr">
        <is>
          <t>FALSE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FALSE</t>
        </is>
      </c>
      <c r="U8" t="inlineStr">
        <is>
          <t>TRUE</t>
        </is>
      </c>
    </row>
    <row r="9">
      <c r="A9" t="inlineStr">
        <is>
          <t>2074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FALSE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</row>
    <row r="10">
      <c r="A10" t="inlineStr">
        <is>
          <t>2075</t>
        </is>
      </c>
      <c r="B10" t="inlineStr">
        <is>
          <t>FALSE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FALSE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</row>
    <row r="11">
      <c r="A11" t="inlineStr">
        <is>
          <t>2076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FALSE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</row>
    <row r="12">
      <c r="A12" t="inlineStr">
        <is>
          <t>2077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</row>
    <row r="13">
      <c r="A13" t="inlineStr">
        <is>
          <t>2079</t>
        </is>
      </c>
      <c r="B13" t="inlineStr">
        <is>
          <t>FALSE</t>
        </is>
      </c>
      <c r="C13" t="inlineStr">
        <is>
          <t>FALSE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FALSE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</row>
    <row r="14">
      <c r="A14" t="inlineStr">
        <is>
          <t>2078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FALSE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</row>
    <row r="15">
      <c r="A15" t="inlineStr">
        <is>
          <t>2080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</row>
    <row r="16">
      <c r="A16" t="inlineStr">
        <is>
          <t>2081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FALSE</t>
        </is>
      </c>
      <c r="F16" t="inlineStr">
        <is>
          <t>FALSE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FALSE</t>
        </is>
      </c>
      <c r="T16" t="inlineStr">
        <is>
          <t>FALSE</t>
        </is>
      </c>
      <c r="U16" t="inlineStr">
        <is>
          <t>TRUE</t>
        </is>
      </c>
    </row>
    <row r="17">
      <c r="A17" t="inlineStr">
        <is>
          <t>2088</t>
        </is>
      </c>
      <c r="B17" t="inlineStr">
        <is>
          <t>FALSE</t>
        </is>
      </c>
      <c r="C17" t="inlineStr">
        <is>
          <t>FALSE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FALSE</t>
        </is>
      </c>
      <c r="K17" t="inlineStr">
        <is>
          <t>TRUE</t>
        </is>
      </c>
      <c r="L17" t="inlineStr">
        <is>
          <t>TRUE</t>
        </is>
      </c>
      <c r="M17" t="inlineStr">
        <is>
          <t>FALSE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</row>
    <row r="18">
      <c r="A18" t="inlineStr">
        <is>
          <t>2083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FALSE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</row>
    <row r="19">
      <c r="A19" t="inlineStr">
        <is>
          <t>2082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FALSE</t>
        </is>
      </c>
      <c r="F19" t="inlineStr">
        <is>
          <t>FALSE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FALSE</t>
        </is>
      </c>
      <c r="U19" t="inlineStr">
        <is>
          <t>TRUE</t>
        </is>
      </c>
    </row>
    <row r="20">
      <c r="A20" t="inlineStr">
        <is>
          <t>2233</t>
        </is>
      </c>
      <c r="B20" t="inlineStr">
        <is>
          <t>TRUE</t>
        </is>
      </c>
      <c r="C20" t="inlineStr">
        <is>
          <t>TRUE</t>
        </is>
      </c>
      <c r="D20" t="inlineStr">
        <is>
          <t>FALSE</t>
        </is>
      </c>
      <c r="E20" t="inlineStr">
        <is>
          <t>FALSE</t>
        </is>
      </c>
      <c r="F20" t="inlineStr">
        <is>
          <t>TRUE</t>
        </is>
      </c>
      <c r="G20" t="inlineStr">
        <is>
          <t>TRUE</t>
        </is>
      </c>
      <c r="H20" t="inlineStr">
        <is>
          <t>FALSE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FALSE</t>
        </is>
      </c>
      <c r="T20" t="inlineStr">
        <is>
          <t>TRUE</t>
        </is>
      </c>
      <c r="U20" t="inlineStr">
        <is>
          <t>TRUE</t>
        </is>
      </c>
    </row>
    <row r="21">
      <c r="A21" t="inlineStr">
        <is>
          <t>2185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